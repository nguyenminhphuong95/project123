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MindX\PROJECT\ky_pham\"/>
    </mc:Choice>
  </mc:AlternateContent>
  <xr:revisionPtr revIDLastSave="0" documentId="13_ncr:1_{8D90BD11-40F4-4D89-B133-520C3841B77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1" l="1"/>
  <c r="K5" i="1" l="1"/>
  <c r="L5" i="1" s="1"/>
  <c r="K6" i="1"/>
  <c r="L6" i="1"/>
  <c r="M5" i="1" s="1"/>
  <c r="K7" i="1"/>
  <c r="L7" i="1"/>
  <c r="M6" i="1" s="1"/>
  <c r="M7" i="1"/>
  <c r="K8" i="1"/>
  <c r="L8" i="1"/>
  <c r="K9" i="1"/>
  <c r="L9" i="1" s="1"/>
  <c r="M8" i="1" s="1"/>
  <c r="K10" i="1"/>
  <c r="L10" i="1" s="1"/>
  <c r="M9" i="1" s="1"/>
  <c r="K11" i="1"/>
  <c r="L11" i="1" s="1"/>
  <c r="M10" i="1" s="1"/>
  <c r="M11" i="1"/>
  <c r="K12" i="1"/>
  <c r="L12" i="1"/>
  <c r="K13" i="1"/>
  <c r="L13" i="1" s="1"/>
  <c r="M12" i="1" s="1"/>
  <c r="K14" i="1"/>
  <c r="L14" i="1"/>
  <c r="M13" i="1" s="1"/>
  <c r="K15" i="1"/>
  <c r="L15" i="1"/>
  <c r="M14" i="1" s="1"/>
  <c r="M15" i="1"/>
  <c r="K16" i="1"/>
  <c r="L16" i="1"/>
  <c r="K17" i="1"/>
  <c r="L17" i="1" s="1"/>
  <c r="M16" i="1" s="1"/>
  <c r="K18" i="1"/>
  <c r="L18" i="1" s="1"/>
  <c r="M17" i="1" s="1"/>
  <c r="K19" i="1"/>
  <c r="L19" i="1" s="1"/>
  <c r="M18" i="1" s="1"/>
  <c r="M19" i="1"/>
  <c r="K20" i="1"/>
  <c r="L20" i="1"/>
  <c r="K21" i="1"/>
  <c r="L21" i="1" s="1"/>
  <c r="M20" i="1" s="1"/>
  <c r="K22" i="1"/>
  <c r="L22" i="1"/>
  <c r="M21" i="1" s="1"/>
  <c r="K23" i="1"/>
  <c r="L23" i="1"/>
  <c r="M22" i="1" s="1"/>
  <c r="M23" i="1"/>
  <c r="K24" i="1"/>
  <c r="L24" i="1"/>
  <c r="K25" i="1"/>
  <c r="L25" i="1" s="1"/>
  <c r="M24" i="1" s="1"/>
  <c r="K26" i="1"/>
  <c r="L26" i="1" s="1"/>
  <c r="M25" i="1" s="1"/>
  <c r="K27" i="1"/>
  <c r="L27" i="1" s="1"/>
  <c r="M26" i="1" s="1"/>
  <c r="M27" i="1"/>
  <c r="K28" i="1"/>
  <c r="L28" i="1"/>
  <c r="M28" i="1"/>
  <c r="K29" i="1"/>
  <c r="L29" i="1" s="1"/>
  <c r="K30" i="1"/>
  <c r="L30" i="1"/>
  <c r="M29" i="1" s="1"/>
  <c r="K31" i="1"/>
  <c r="L31" i="1"/>
  <c r="M30" i="1" s="1"/>
  <c r="M31" i="1"/>
  <c r="K32" i="1"/>
  <c r="L32" i="1"/>
  <c r="K33" i="1"/>
  <c r="L33" i="1" s="1"/>
  <c r="M32" i="1" s="1"/>
  <c r="K34" i="1"/>
  <c r="L34" i="1" s="1"/>
  <c r="M33" i="1" s="1"/>
  <c r="K35" i="1"/>
  <c r="L35" i="1" s="1"/>
  <c r="M34" i="1" s="1"/>
  <c r="M35" i="1"/>
  <c r="K36" i="1"/>
  <c r="L36" i="1"/>
  <c r="M36" i="1"/>
  <c r="K37" i="1"/>
  <c r="L37" i="1" s="1"/>
  <c r="K38" i="1"/>
  <c r="L38" i="1"/>
  <c r="M37" i="1" s="1"/>
  <c r="K39" i="1"/>
  <c r="L39" i="1"/>
  <c r="M38" i="1" s="1"/>
  <c r="M39" i="1"/>
  <c r="K40" i="1"/>
  <c r="L40" i="1"/>
  <c r="K41" i="1"/>
  <c r="L41" i="1" s="1"/>
  <c r="M40" i="1" s="1"/>
  <c r="K42" i="1"/>
  <c r="L42" i="1" s="1"/>
  <c r="M41" i="1" s="1"/>
  <c r="K43" i="1"/>
  <c r="L43" i="1" s="1"/>
  <c r="M42" i="1" s="1"/>
  <c r="M43" i="1"/>
  <c r="K44" i="1"/>
  <c r="L44" i="1"/>
  <c r="K45" i="1"/>
  <c r="L45" i="1" s="1"/>
  <c r="M44" i="1" s="1"/>
  <c r="K46" i="1"/>
  <c r="L46" i="1"/>
  <c r="M45" i="1" s="1"/>
  <c r="K47" i="1"/>
  <c r="L47" i="1"/>
  <c r="M46" i="1" s="1"/>
  <c r="M47" i="1"/>
  <c r="K48" i="1"/>
  <c r="L48" i="1"/>
  <c r="K49" i="1"/>
  <c r="L49" i="1" s="1"/>
  <c r="M48" i="1" s="1"/>
  <c r="K50" i="1"/>
  <c r="L50" i="1" s="1"/>
  <c r="M49" i="1" s="1"/>
  <c r="K51" i="1"/>
  <c r="L51" i="1" s="1"/>
  <c r="M50" i="1" s="1"/>
  <c r="M51" i="1"/>
  <c r="K52" i="1"/>
  <c r="L52" i="1"/>
  <c r="M52" i="1"/>
  <c r="K53" i="1"/>
  <c r="L53" i="1" s="1"/>
  <c r="K54" i="1"/>
  <c r="L54" i="1"/>
  <c r="M53" i="1" s="1"/>
  <c r="K55" i="1"/>
  <c r="L55" i="1"/>
  <c r="M54" i="1" s="1"/>
  <c r="M55" i="1"/>
  <c r="K56" i="1"/>
  <c r="L56" i="1"/>
  <c r="K57" i="1"/>
  <c r="L57" i="1"/>
  <c r="M56" i="1" s="1"/>
  <c r="K58" i="1"/>
  <c r="L58" i="1"/>
  <c r="M57" i="1" s="1"/>
  <c r="K59" i="1"/>
  <c r="L59" i="1"/>
  <c r="M58" i="1" s="1"/>
  <c r="M59" i="1"/>
  <c r="K60" i="1"/>
  <c r="L60" i="1"/>
  <c r="M60" i="1"/>
  <c r="K61" i="1"/>
  <c r="L61" i="1"/>
  <c r="K62" i="1"/>
  <c r="L62" i="1"/>
  <c r="M61" i="1" s="1"/>
  <c r="K63" i="1"/>
  <c r="L63" i="1"/>
  <c r="M62" i="1" s="1"/>
  <c r="M63" i="1"/>
  <c r="K64" i="1"/>
  <c r="L64" i="1"/>
  <c r="K65" i="1"/>
  <c r="L65" i="1"/>
  <c r="M64" i="1" s="1"/>
  <c r="K66" i="1"/>
  <c r="L66" i="1"/>
  <c r="M65" i="1" s="1"/>
  <c r="K67" i="1"/>
  <c r="L67" i="1"/>
  <c r="M66" i="1" s="1"/>
  <c r="M67" i="1"/>
  <c r="K68" i="1"/>
  <c r="L68" i="1"/>
  <c r="M68" i="1"/>
  <c r="K69" i="1"/>
  <c r="L69" i="1"/>
  <c r="K70" i="1"/>
  <c r="L70" i="1"/>
  <c r="M69" i="1" s="1"/>
  <c r="K71" i="1"/>
  <c r="L71" i="1"/>
  <c r="M70" i="1" s="1"/>
  <c r="M71" i="1"/>
  <c r="K72" i="1"/>
  <c r="L72" i="1"/>
  <c r="K73" i="1"/>
  <c r="L73" i="1"/>
  <c r="M72" i="1" s="1"/>
  <c r="K74" i="1"/>
  <c r="L74" i="1"/>
  <c r="M73" i="1" s="1"/>
  <c r="K75" i="1"/>
  <c r="L75" i="1"/>
  <c r="M74" i="1" s="1"/>
  <c r="M75" i="1"/>
  <c r="K76" i="1"/>
  <c r="L76" i="1"/>
  <c r="M76" i="1"/>
  <c r="K77" i="1"/>
  <c r="L77" i="1"/>
  <c r="K78" i="1"/>
  <c r="L78" i="1"/>
  <c r="M77" i="1" s="1"/>
  <c r="K79" i="1"/>
  <c r="L79" i="1"/>
  <c r="M78" i="1" s="1"/>
  <c r="M79" i="1"/>
  <c r="K80" i="1"/>
  <c r="L80" i="1"/>
  <c r="K81" i="1"/>
  <c r="L81" i="1"/>
  <c r="M80" i="1" s="1"/>
  <c r="K82" i="1"/>
  <c r="L82" i="1"/>
  <c r="M81" i="1" s="1"/>
  <c r="K83" i="1"/>
  <c r="L83" i="1"/>
  <c r="M82" i="1" s="1"/>
  <c r="M83" i="1"/>
  <c r="K84" i="1"/>
  <c r="L84" i="1"/>
  <c r="M84" i="1"/>
  <c r="K85" i="1"/>
  <c r="L85" i="1"/>
  <c r="K86" i="1"/>
  <c r="L86" i="1"/>
  <c r="M85" i="1" s="1"/>
  <c r="K87" i="1"/>
  <c r="L87" i="1"/>
  <c r="M86" i="1" s="1"/>
  <c r="M87" i="1"/>
  <c r="K88" i="1"/>
  <c r="L88" i="1"/>
  <c r="K89" i="1"/>
  <c r="L89" i="1"/>
  <c r="M88" i="1" s="1"/>
  <c r="K90" i="1"/>
  <c r="L90" i="1"/>
  <c r="M89" i="1" s="1"/>
  <c r="K91" i="1"/>
  <c r="L91" i="1"/>
  <c r="M90" i="1" s="1"/>
  <c r="M91" i="1"/>
  <c r="K92" i="1"/>
  <c r="L92" i="1"/>
  <c r="M92" i="1"/>
  <c r="K93" i="1"/>
  <c r="L93" i="1"/>
  <c r="K94" i="1"/>
  <c r="L94" i="1"/>
  <c r="M93" i="1" s="1"/>
  <c r="K95" i="1"/>
  <c r="L95" i="1"/>
  <c r="M94" i="1" s="1"/>
  <c r="M95" i="1"/>
  <c r="K96" i="1"/>
  <c r="L96" i="1"/>
  <c r="K97" i="1"/>
  <c r="L97" i="1"/>
  <c r="M96" i="1" s="1"/>
  <c r="K98" i="1"/>
  <c r="L98" i="1"/>
  <c r="M97" i="1" s="1"/>
  <c r="K99" i="1"/>
  <c r="L99" i="1"/>
  <c r="M98" i="1" s="1"/>
  <c r="M99" i="1"/>
  <c r="K100" i="1"/>
  <c r="L100" i="1"/>
  <c r="M100" i="1"/>
  <c r="K101" i="1"/>
  <c r="L101" i="1"/>
  <c r="K102" i="1"/>
  <c r="L102" i="1"/>
  <c r="M101" i="1" s="1"/>
  <c r="K103" i="1"/>
  <c r="L103" i="1"/>
  <c r="M102" i="1" s="1"/>
  <c r="M103" i="1"/>
  <c r="K104" i="1"/>
  <c r="L104" i="1"/>
  <c r="K105" i="1"/>
  <c r="L105" i="1"/>
  <c r="M104" i="1" s="1"/>
  <c r="K106" i="1"/>
  <c r="L106" i="1"/>
  <c r="M105" i="1" s="1"/>
  <c r="K107" i="1"/>
  <c r="L107" i="1"/>
  <c r="M106" i="1" s="1"/>
  <c r="M107" i="1"/>
  <c r="K108" i="1"/>
  <c r="L108" i="1"/>
  <c r="M108" i="1"/>
  <c r="K109" i="1"/>
  <c r="L109" i="1"/>
  <c r="K110" i="1"/>
  <c r="L110" i="1"/>
  <c r="M109" i="1" s="1"/>
  <c r="K111" i="1"/>
  <c r="L111" i="1"/>
  <c r="M110" i="1" s="1"/>
  <c r="M111" i="1"/>
  <c r="K112" i="1"/>
  <c r="L112" i="1"/>
  <c r="K113" i="1"/>
  <c r="L113" i="1"/>
  <c r="M112" i="1" s="1"/>
  <c r="K114" i="1"/>
  <c r="L114" i="1"/>
  <c r="M113" i="1" s="1"/>
  <c r="K115" i="1"/>
  <c r="L115" i="1"/>
  <c r="M114" i="1" s="1"/>
  <c r="M115" i="1"/>
  <c r="K116" i="1"/>
  <c r="L116" i="1"/>
  <c r="M116" i="1"/>
  <c r="K117" i="1"/>
  <c r="L117" i="1"/>
  <c r="K118" i="1"/>
  <c r="L118" i="1"/>
  <c r="M117" i="1" s="1"/>
  <c r="K119" i="1"/>
  <c r="L119" i="1"/>
  <c r="M118" i="1" s="1"/>
  <c r="M119" i="1"/>
  <c r="K120" i="1"/>
  <c r="L120" i="1"/>
  <c r="K121" i="1"/>
  <c r="L121" i="1"/>
  <c r="M120" i="1" s="1"/>
  <c r="K122" i="1"/>
  <c r="L122" i="1"/>
  <c r="M121" i="1" s="1"/>
  <c r="K123" i="1"/>
  <c r="L123" i="1"/>
  <c r="M122" i="1" s="1"/>
  <c r="M123" i="1"/>
  <c r="K124" i="1"/>
  <c r="L124" i="1"/>
  <c r="M124" i="1"/>
  <c r="K125" i="1"/>
  <c r="L125" i="1"/>
  <c r="K126" i="1"/>
  <c r="L126" i="1"/>
  <c r="M125" i="1" s="1"/>
  <c r="K127" i="1"/>
  <c r="L127" i="1"/>
  <c r="M126" i="1" s="1"/>
  <c r="M127" i="1"/>
  <c r="K128" i="1"/>
  <c r="L128" i="1"/>
  <c r="K129" i="1"/>
  <c r="L129" i="1"/>
  <c r="M128" i="1" s="1"/>
  <c r="K130" i="1"/>
  <c r="L130" i="1"/>
  <c r="M129" i="1" s="1"/>
  <c r="K131" i="1"/>
  <c r="L131" i="1"/>
  <c r="M130" i="1" s="1"/>
  <c r="M131" i="1"/>
  <c r="K132" i="1"/>
  <c r="L132" i="1"/>
  <c r="M132" i="1"/>
  <c r="K133" i="1"/>
  <c r="L133" i="1"/>
  <c r="K134" i="1"/>
  <c r="L134" i="1"/>
  <c r="M133" i="1" s="1"/>
  <c r="K135" i="1"/>
  <c r="L135" i="1"/>
  <c r="M134" i="1" s="1"/>
  <c r="M135" i="1"/>
  <c r="K136" i="1"/>
  <c r="L136" i="1"/>
  <c r="K137" i="1"/>
  <c r="L137" i="1"/>
  <c r="M136" i="1" s="1"/>
  <c r="K138" i="1"/>
  <c r="L138" i="1"/>
  <c r="M137" i="1" s="1"/>
  <c r="K139" i="1"/>
  <c r="L139" i="1"/>
  <c r="M138" i="1" s="1"/>
  <c r="M139" i="1"/>
  <c r="K140" i="1"/>
  <c r="L140" i="1"/>
  <c r="M140" i="1"/>
  <c r="K141" i="1"/>
  <c r="L141" i="1"/>
  <c r="K142" i="1"/>
  <c r="L142" i="1"/>
  <c r="M141" i="1" s="1"/>
  <c r="K143" i="1"/>
  <c r="L143" i="1"/>
  <c r="M142" i="1" s="1"/>
  <c r="M143" i="1"/>
  <c r="K144" i="1"/>
  <c r="L144" i="1"/>
  <c r="K145" i="1"/>
  <c r="L145" i="1"/>
  <c r="M144" i="1" s="1"/>
  <c r="K146" i="1"/>
  <c r="L146" i="1"/>
  <c r="M145" i="1" s="1"/>
  <c r="K147" i="1"/>
  <c r="L147" i="1"/>
  <c r="M146" i="1" s="1"/>
  <c r="M147" i="1"/>
  <c r="K148" i="1"/>
  <c r="L148" i="1"/>
  <c r="M148" i="1"/>
  <c r="K149" i="1"/>
  <c r="L149" i="1"/>
  <c r="K150" i="1"/>
  <c r="L150" i="1"/>
  <c r="M149" i="1" s="1"/>
  <c r="K151" i="1"/>
  <c r="L151" i="1"/>
  <c r="M150" i="1" s="1"/>
  <c r="M151" i="1"/>
  <c r="K152" i="1"/>
  <c r="L152" i="1"/>
  <c r="K153" i="1"/>
  <c r="L153" i="1"/>
  <c r="M152" i="1" s="1"/>
  <c r="K154" i="1"/>
  <c r="L154" i="1"/>
  <c r="M153" i="1" s="1"/>
  <c r="K155" i="1"/>
  <c r="L155" i="1"/>
  <c r="M154" i="1" s="1"/>
  <c r="M155" i="1"/>
  <c r="K156" i="1"/>
  <c r="L156" i="1"/>
  <c r="M156" i="1"/>
  <c r="K157" i="1"/>
  <c r="L157" i="1"/>
  <c r="K158" i="1"/>
  <c r="L158" i="1"/>
  <c r="M157" i="1" s="1"/>
  <c r="K159" i="1"/>
  <c r="L159" i="1"/>
  <c r="M158" i="1" s="1"/>
  <c r="M159" i="1"/>
  <c r="K160" i="1"/>
  <c r="L160" i="1"/>
  <c r="K161" i="1"/>
  <c r="L161" i="1"/>
  <c r="M160" i="1" s="1"/>
  <c r="K162" i="1"/>
  <c r="L162" i="1"/>
  <c r="M161" i="1" s="1"/>
  <c r="K163" i="1"/>
  <c r="L163" i="1"/>
  <c r="M162" i="1" s="1"/>
  <c r="M163" i="1"/>
  <c r="K164" i="1"/>
  <c r="L164" i="1"/>
  <c r="M164" i="1"/>
  <c r="K165" i="1"/>
  <c r="L165" i="1"/>
  <c r="K166" i="1"/>
  <c r="L166" i="1"/>
  <c r="M165" i="1" s="1"/>
  <c r="K167" i="1"/>
  <c r="L167" i="1"/>
  <c r="M166" i="1" s="1"/>
  <c r="M167" i="1"/>
  <c r="K168" i="1"/>
  <c r="L168" i="1"/>
  <c r="K169" i="1"/>
  <c r="L169" i="1"/>
  <c r="M168" i="1" s="1"/>
  <c r="K170" i="1"/>
  <c r="L170" i="1"/>
  <c r="M169" i="1" s="1"/>
  <c r="K171" i="1"/>
  <c r="L171" i="1"/>
  <c r="M170" i="1" s="1"/>
  <c r="M171" i="1"/>
  <c r="K172" i="1"/>
  <c r="L172" i="1"/>
  <c r="M172" i="1"/>
  <c r="K173" i="1"/>
  <c r="L173" i="1"/>
  <c r="K174" i="1"/>
  <c r="L174" i="1"/>
  <c r="M173" i="1" s="1"/>
  <c r="K175" i="1"/>
  <c r="L175" i="1"/>
  <c r="M174" i="1" s="1"/>
  <c r="M175" i="1"/>
  <c r="K176" i="1"/>
  <c r="L176" i="1"/>
  <c r="K177" i="1"/>
  <c r="L177" i="1"/>
  <c r="M176" i="1" s="1"/>
  <c r="K178" i="1"/>
  <c r="L178" i="1"/>
  <c r="M177" i="1" s="1"/>
  <c r="K179" i="1"/>
  <c r="L179" i="1"/>
  <c r="M178" i="1" s="1"/>
  <c r="M179" i="1"/>
  <c r="K180" i="1"/>
  <c r="L180" i="1"/>
  <c r="M180" i="1"/>
  <c r="K181" i="1"/>
  <c r="L181" i="1"/>
  <c r="K182" i="1"/>
  <c r="L182" i="1"/>
  <c r="M181" i="1" s="1"/>
  <c r="K183" i="1"/>
  <c r="L183" i="1"/>
  <c r="M182" i="1" s="1"/>
  <c r="M183" i="1"/>
  <c r="K184" i="1"/>
  <c r="L184" i="1"/>
  <c r="K185" i="1"/>
  <c r="L185" i="1"/>
  <c r="M184" i="1" s="1"/>
  <c r="K186" i="1"/>
  <c r="L186" i="1"/>
  <c r="M185" i="1" s="1"/>
  <c r="K187" i="1"/>
  <c r="L187" i="1"/>
  <c r="M186" i="1" s="1"/>
  <c r="M187" i="1"/>
  <c r="K188" i="1"/>
  <c r="L188" i="1"/>
  <c r="M188" i="1"/>
  <c r="K189" i="1"/>
  <c r="L189" i="1"/>
  <c r="K190" i="1"/>
  <c r="L190" i="1"/>
  <c r="M189" i="1" s="1"/>
  <c r="K191" i="1"/>
  <c r="L191" i="1"/>
  <c r="M190" i="1" s="1"/>
  <c r="M191" i="1"/>
  <c r="K192" i="1"/>
  <c r="L192" i="1"/>
  <c r="K193" i="1"/>
  <c r="L193" i="1"/>
  <c r="M192" i="1" s="1"/>
  <c r="K194" i="1"/>
  <c r="L194" i="1"/>
  <c r="M193" i="1" s="1"/>
  <c r="K195" i="1"/>
  <c r="L195" i="1"/>
  <c r="M194" i="1" s="1"/>
  <c r="M195" i="1"/>
  <c r="K196" i="1"/>
  <c r="L196" i="1"/>
  <c r="M196" i="1"/>
  <c r="K197" i="1"/>
  <c r="L197" i="1"/>
  <c r="K198" i="1"/>
  <c r="L198" i="1"/>
  <c r="M197" i="1" s="1"/>
  <c r="K199" i="1"/>
  <c r="L199" i="1"/>
  <c r="M198" i="1" s="1"/>
  <c r="M199" i="1"/>
  <c r="K200" i="1"/>
  <c r="L200" i="1"/>
  <c r="K201" i="1"/>
  <c r="L201" i="1"/>
  <c r="M200" i="1" s="1"/>
  <c r="K202" i="1"/>
  <c r="L202" i="1"/>
  <c r="M201" i="1" s="1"/>
  <c r="K203" i="1"/>
  <c r="L203" i="1"/>
  <c r="M202" i="1" s="1"/>
  <c r="M203" i="1"/>
  <c r="K204" i="1"/>
  <c r="L204" i="1"/>
  <c r="M204" i="1"/>
  <c r="K205" i="1"/>
  <c r="L205" i="1"/>
  <c r="K206" i="1"/>
  <c r="L206" i="1"/>
  <c r="M205" i="1" s="1"/>
  <c r="K207" i="1"/>
  <c r="L207" i="1"/>
  <c r="M206" i="1" s="1"/>
  <c r="M207" i="1"/>
  <c r="K208" i="1"/>
  <c r="L208" i="1"/>
  <c r="K209" i="1"/>
  <c r="L209" i="1"/>
  <c r="M208" i="1" s="1"/>
  <c r="K210" i="1"/>
  <c r="L210" i="1"/>
  <c r="M209" i="1" s="1"/>
  <c r="K211" i="1"/>
  <c r="L211" i="1"/>
  <c r="M210" i="1" s="1"/>
  <c r="M211" i="1"/>
  <c r="K212" i="1"/>
  <c r="L212" i="1"/>
  <c r="M212" i="1"/>
  <c r="K213" i="1"/>
  <c r="L213" i="1"/>
  <c r="K214" i="1"/>
  <c r="L214" i="1"/>
  <c r="M213" i="1" s="1"/>
  <c r="K215" i="1"/>
  <c r="L215" i="1"/>
  <c r="M214" i="1" s="1"/>
  <c r="M215" i="1"/>
  <c r="K216" i="1"/>
  <c r="L216" i="1"/>
  <c r="K217" i="1"/>
  <c r="L217" i="1"/>
  <c r="M216" i="1" s="1"/>
  <c r="K218" i="1"/>
  <c r="L218" i="1"/>
  <c r="M217" i="1" s="1"/>
  <c r="K219" i="1"/>
  <c r="L219" i="1"/>
  <c r="M218" i="1" s="1"/>
  <c r="M219" i="1"/>
  <c r="K220" i="1"/>
  <c r="L220" i="1"/>
  <c r="M220" i="1"/>
  <c r="K221" i="1"/>
  <c r="L221" i="1"/>
  <c r="K222" i="1"/>
  <c r="L222" i="1"/>
  <c r="M221" i="1" s="1"/>
  <c r="K223" i="1"/>
  <c r="L223" i="1"/>
  <c r="M222" i="1" s="1"/>
  <c r="M223" i="1"/>
  <c r="K224" i="1"/>
  <c r="L224" i="1"/>
  <c r="K225" i="1"/>
  <c r="L225" i="1"/>
  <c r="M224" i="1" s="1"/>
  <c r="K226" i="1"/>
  <c r="L226" i="1"/>
  <c r="M225" i="1" s="1"/>
  <c r="K227" i="1"/>
  <c r="L227" i="1"/>
  <c r="M226" i="1" s="1"/>
  <c r="M227" i="1"/>
  <c r="K228" i="1"/>
  <c r="L228" i="1"/>
  <c r="M228" i="1"/>
  <c r="K229" i="1"/>
  <c r="L229" i="1"/>
  <c r="K230" i="1"/>
  <c r="L230" i="1"/>
  <c r="M229" i="1" s="1"/>
  <c r="K231" i="1"/>
  <c r="L231" i="1"/>
  <c r="M230" i="1" s="1"/>
  <c r="M231" i="1"/>
  <c r="K232" i="1"/>
  <c r="L232" i="1"/>
  <c r="K233" i="1"/>
  <c r="L233" i="1"/>
  <c r="M232" i="1" s="1"/>
  <c r="K234" i="1"/>
  <c r="L234" i="1"/>
  <c r="M233" i="1" s="1"/>
  <c r="K235" i="1"/>
  <c r="L235" i="1"/>
  <c r="M234" i="1" s="1"/>
  <c r="M235" i="1"/>
  <c r="K236" i="1"/>
  <c r="L236" i="1"/>
  <c r="M236" i="1"/>
  <c r="K237" i="1"/>
  <c r="L237" i="1"/>
  <c r="K238" i="1"/>
  <c r="L238" i="1"/>
  <c r="M237" i="1" s="1"/>
  <c r="K239" i="1"/>
  <c r="L239" i="1"/>
  <c r="M238" i="1" s="1"/>
  <c r="M239" i="1"/>
  <c r="K240" i="1"/>
  <c r="L240" i="1"/>
  <c r="K241" i="1"/>
  <c r="L241" i="1"/>
  <c r="M240" i="1" s="1"/>
  <c r="K242" i="1"/>
  <c r="L242" i="1"/>
  <c r="M241" i="1" s="1"/>
  <c r="K243" i="1"/>
  <c r="L243" i="1"/>
  <c r="M242" i="1" s="1"/>
  <c r="M243" i="1"/>
  <c r="K244" i="1"/>
  <c r="L244" i="1"/>
  <c r="M244" i="1"/>
  <c r="K245" i="1"/>
  <c r="L245" i="1"/>
  <c r="K246" i="1"/>
  <c r="L246" i="1"/>
  <c r="M245" i="1" s="1"/>
  <c r="K247" i="1"/>
  <c r="L247" i="1"/>
  <c r="M246" i="1" s="1"/>
  <c r="M247" i="1"/>
  <c r="K248" i="1"/>
  <c r="L248" i="1"/>
  <c r="K249" i="1"/>
  <c r="L249" i="1"/>
  <c r="M248" i="1" s="1"/>
  <c r="K250" i="1"/>
  <c r="L250" i="1"/>
  <c r="M249" i="1" s="1"/>
  <c r="K251" i="1"/>
  <c r="L251" i="1"/>
  <c r="M250" i="1" s="1"/>
  <c r="M251" i="1"/>
  <c r="K252" i="1"/>
  <c r="L252" i="1"/>
  <c r="M252" i="1"/>
  <c r="K253" i="1"/>
  <c r="L253" i="1"/>
  <c r="K254" i="1"/>
  <c r="L254" i="1"/>
  <c r="M253" i="1" s="1"/>
  <c r="K255" i="1"/>
  <c r="L255" i="1"/>
  <c r="M254" i="1" s="1"/>
  <c r="M255" i="1"/>
  <c r="K256" i="1"/>
  <c r="L256" i="1"/>
  <c r="K257" i="1"/>
  <c r="L257" i="1"/>
  <c r="M256" i="1" s="1"/>
  <c r="K258" i="1"/>
  <c r="L258" i="1"/>
  <c r="M257" i="1" s="1"/>
  <c r="K259" i="1"/>
  <c r="L259" i="1"/>
  <c r="M258" i="1" s="1"/>
  <c r="M259" i="1"/>
  <c r="K260" i="1"/>
  <c r="L260" i="1"/>
  <c r="M260" i="1"/>
  <c r="K261" i="1"/>
  <c r="L261" i="1"/>
  <c r="K262" i="1"/>
  <c r="L262" i="1"/>
  <c r="M261" i="1" s="1"/>
  <c r="K263" i="1"/>
  <c r="L263" i="1"/>
  <c r="M262" i="1" s="1"/>
  <c r="M263" i="1"/>
  <c r="K264" i="1"/>
  <c r="L264" i="1"/>
  <c r="K265" i="1"/>
  <c r="L265" i="1"/>
  <c r="M264" i="1" s="1"/>
  <c r="K266" i="1"/>
  <c r="L266" i="1"/>
  <c r="M265" i="1" s="1"/>
  <c r="K267" i="1"/>
  <c r="L267" i="1"/>
  <c r="M266" i="1" s="1"/>
  <c r="M267" i="1"/>
  <c r="K268" i="1"/>
  <c r="L268" i="1"/>
  <c r="M268" i="1"/>
  <c r="K269" i="1"/>
  <c r="L269" i="1"/>
  <c r="K270" i="1"/>
  <c r="L270" i="1"/>
  <c r="M269" i="1" s="1"/>
  <c r="K271" i="1"/>
  <c r="L271" i="1"/>
  <c r="M270" i="1" s="1"/>
  <c r="M271" i="1"/>
  <c r="K272" i="1"/>
  <c r="L272" i="1"/>
  <c r="K273" i="1"/>
  <c r="L273" i="1"/>
  <c r="M272" i="1" s="1"/>
  <c r="K274" i="1"/>
  <c r="L274" i="1"/>
  <c r="M273" i="1" s="1"/>
  <c r="K275" i="1"/>
  <c r="L275" i="1"/>
  <c r="M274" i="1" s="1"/>
  <c r="M275" i="1"/>
  <c r="K276" i="1"/>
  <c r="L276" i="1"/>
  <c r="M276" i="1"/>
  <c r="K277" i="1"/>
  <c r="L277" i="1"/>
  <c r="K278" i="1"/>
  <c r="L278" i="1"/>
  <c r="M277" i="1" s="1"/>
  <c r="K279" i="1"/>
  <c r="L279" i="1"/>
  <c r="M278" i="1" s="1"/>
  <c r="M279" i="1"/>
  <c r="K280" i="1"/>
  <c r="L280" i="1"/>
  <c r="K281" i="1"/>
  <c r="L281" i="1"/>
  <c r="M280" i="1" s="1"/>
  <c r="K282" i="1"/>
  <c r="L282" i="1"/>
  <c r="M281" i="1" s="1"/>
  <c r="K283" i="1"/>
  <c r="L283" i="1"/>
  <c r="M282" i="1" s="1"/>
  <c r="M283" i="1"/>
  <c r="K284" i="1"/>
  <c r="L284" i="1"/>
  <c r="M284" i="1"/>
  <c r="K285" i="1"/>
  <c r="L285" i="1"/>
  <c r="K286" i="1"/>
  <c r="L286" i="1"/>
  <c r="M285" i="1" s="1"/>
  <c r="K287" i="1"/>
  <c r="L287" i="1"/>
  <c r="M286" i="1" s="1"/>
  <c r="M287" i="1"/>
  <c r="K288" i="1"/>
  <c r="L288" i="1"/>
  <c r="K289" i="1"/>
  <c r="L289" i="1"/>
  <c r="M288" i="1" s="1"/>
  <c r="K290" i="1"/>
  <c r="L290" i="1"/>
  <c r="M289" i="1" s="1"/>
  <c r="K291" i="1"/>
  <c r="L291" i="1"/>
  <c r="M290" i="1" s="1"/>
  <c r="M291" i="1"/>
  <c r="K292" i="1"/>
  <c r="L292" i="1"/>
  <c r="M292" i="1"/>
  <c r="K293" i="1"/>
  <c r="L293" i="1"/>
  <c r="K294" i="1"/>
  <c r="L294" i="1"/>
  <c r="M293" i="1" s="1"/>
  <c r="K295" i="1"/>
  <c r="L295" i="1"/>
  <c r="M294" i="1" s="1"/>
  <c r="M295" i="1"/>
  <c r="K296" i="1"/>
  <c r="L296" i="1"/>
  <c r="K297" i="1"/>
  <c r="L297" i="1"/>
  <c r="M296" i="1" s="1"/>
  <c r="K298" i="1"/>
  <c r="L298" i="1"/>
  <c r="M297" i="1" s="1"/>
  <c r="K299" i="1"/>
  <c r="L299" i="1"/>
  <c r="M298" i="1" s="1"/>
  <c r="M299" i="1"/>
  <c r="K300" i="1"/>
  <c r="L300" i="1"/>
  <c r="M300" i="1"/>
  <c r="K301" i="1"/>
  <c r="L301" i="1"/>
  <c r="K302" i="1"/>
  <c r="L302" i="1"/>
  <c r="M301" i="1" s="1"/>
  <c r="K303" i="1"/>
  <c r="L303" i="1"/>
  <c r="M302" i="1" s="1"/>
  <c r="M303" i="1"/>
  <c r="K304" i="1"/>
  <c r="L304" i="1"/>
  <c r="K305" i="1"/>
  <c r="L305" i="1"/>
  <c r="M304" i="1" s="1"/>
  <c r="K306" i="1"/>
  <c r="L306" i="1"/>
  <c r="M305" i="1" s="1"/>
  <c r="K307" i="1"/>
  <c r="L307" i="1"/>
  <c r="M306" i="1" s="1"/>
  <c r="M307" i="1"/>
  <c r="K308" i="1"/>
  <c r="L308" i="1"/>
  <c r="M308" i="1"/>
  <c r="K309" i="1"/>
  <c r="L309" i="1"/>
  <c r="K310" i="1"/>
  <c r="L310" i="1"/>
  <c r="M309" i="1" s="1"/>
  <c r="K311" i="1"/>
  <c r="L311" i="1"/>
  <c r="M310" i="1" s="1"/>
  <c r="M311" i="1"/>
  <c r="K312" i="1"/>
  <c r="L312" i="1"/>
  <c r="K313" i="1"/>
  <c r="L313" i="1"/>
  <c r="M312" i="1" s="1"/>
  <c r="K314" i="1"/>
  <c r="L314" i="1"/>
  <c r="M313" i="1" s="1"/>
  <c r="M314" i="1"/>
  <c r="K315" i="1"/>
  <c r="L315" i="1"/>
  <c r="M315" i="1"/>
  <c r="K316" i="1"/>
  <c r="L316" i="1"/>
  <c r="M316" i="1"/>
  <c r="K317" i="1"/>
  <c r="L317" i="1"/>
  <c r="K318" i="1"/>
  <c r="L318" i="1"/>
  <c r="M317" i="1" s="1"/>
  <c r="K319" i="1"/>
  <c r="L319" i="1"/>
  <c r="M318" i="1" s="1"/>
  <c r="M319" i="1"/>
  <c r="K320" i="1"/>
  <c r="L320" i="1"/>
  <c r="K321" i="1"/>
  <c r="L321" i="1"/>
  <c r="M320" i="1" s="1"/>
  <c r="K322" i="1"/>
  <c r="L322" i="1"/>
  <c r="M321" i="1" s="1"/>
  <c r="M322" i="1"/>
  <c r="K323" i="1"/>
  <c r="L323" i="1"/>
  <c r="M323" i="1"/>
  <c r="K324" i="1"/>
  <c r="L324" i="1"/>
  <c r="M324" i="1"/>
  <c r="K325" i="1"/>
  <c r="L325" i="1"/>
  <c r="K326" i="1"/>
  <c r="L326" i="1"/>
  <c r="M325" i="1" s="1"/>
  <c r="K327" i="1"/>
  <c r="L327" i="1"/>
  <c r="M326" i="1" s="1"/>
  <c r="M327" i="1"/>
  <c r="K328" i="1"/>
  <c r="L328" i="1"/>
  <c r="K329" i="1"/>
  <c r="L329" i="1"/>
  <c r="M328" i="1" s="1"/>
  <c r="K330" i="1"/>
  <c r="L330" i="1"/>
  <c r="M329" i="1" s="1"/>
  <c r="M330" i="1"/>
  <c r="K331" i="1"/>
  <c r="L331" i="1"/>
  <c r="M331" i="1"/>
  <c r="K332" i="1"/>
  <c r="L332" i="1"/>
  <c r="M332" i="1"/>
  <c r="K333" i="1"/>
  <c r="L333" i="1"/>
  <c r="K334" i="1"/>
  <c r="L334" i="1"/>
  <c r="M333" i="1" s="1"/>
  <c r="K335" i="1"/>
  <c r="L335" i="1"/>
  <c r="M334" i="1" s="1"/>
  <c r="M335" i="1"/>
  <c r="K336" i="1"/>
  <c r="L336" i="1"/>
  <c r="K337" i="1"/>
  <c r="L337" i="1"/>
  <c r="M336" i="1" s="1"/>
  <c r="K338" i="1"/>
  <c r="L338" i="1"/>
  <c r="M337" i="1" s="1"/>
  <c r="M338" i="1"/>
  <c r="K339" i="1"/>
  <c r="L339" i="1"/>
  <c r="M339" i="1"/>
  <c r="K340" i="1"/>
  <c r="L340" i="1"/>
  <c r="M340" i="1"/>
  <c r="K341" i="1"/>
  <c r="L341" i="1"/>
  <c r="K342" i="1"/>
  <c r="L342" i="1"/>
  <c r="M341" i="1" s="1"/>
  <c r="K343" i="1"/>
  <c r="L343" i="1"/>
  <c r="M342" i="1" s="1"/>
  <c r="M343" i="1"/>
  <c r="K344" i="1"/>
  <c r="L344" i="1"/>
  <c r="K345" i="1"/>
  <c r="L345" i="1"/>
  <c r="M344" i="1" s="1"/>
  <c r="K346" i="1"/>
  <c r="L346" i="1"/>
  <c r="M345" i="1" s="1"/>
  <c r="M346" i="1"/>
  <c r="K347" i="1"/>
  <c r="L347" i="1"/>
  <c r="M347" i="1"/>
  <c r="K348" i="1"/>
  <c r="L348" i="1"/>
  <c r="M348" i="1"/>
  <c r="K349" i="1"/>
  <c r="L349" i="1"/>
  <c r="K350" i="1"/>
  <c r="L350" i="1"/>
  <c r="M349" i="1" s="1"/>
  <c r="K351" i="1"/>
  <c r="L351" i="1"/>
  <c r="M350" i="1" s="1"/>
  <c r="M351" i="1"/>
  <c r="K352" i="1"/>
  <c r="L352" i="1"/>
  <c r="K353" i="1"/>
  <c r="L353" i="1"/>
  <c r="M352" i="1" s="1"/>
  <c r="K354" i="1"/>
  <c r="L354" i="1"/>
  <c r="M353" i="1" s="1"/>
  <c r="M354" i="1"/>
  <c r="K355" i="1"/>
  <c r="L355" i="1"/>
  <c r="M355" i="1"/>
  <c r="K356" i="1"/>
  <c r="L356" i="1"/>
  <c r="M356" i="1"/>
  <c r="K357" i="1"/>
  <c r="L357" i="1"/>
  <c r="K358" i="1"/>
  <c r="L358" i="1"/>
  <c r="M357" i="1" s="1"/>
  <c r="K359" i="1"/>
  <c r="L359" i="1"/>
  <c r="M358" i="1" s="1"/>
  <c r="M359" i="1"/>
  <c r="K360" i="1"/>
  <c r="L360" i="1"/>
  <c r="K361" i="1"/>
  <c r="L361" i="1"/>
  <c r="M360" i="1" s="1"/>
  <c r="K362" i="1"/>
  <c r="L362" i="1"/>
  <c r="M361" i="1" s="1"/>
  <c r="M362" i="1"/>
  <c r="K363" i="1"/>
  <c r="L363" i="1"/>
  <c r="M363" i="1"/>
  <c r="K364" i="1"/>
  <c r="L364" i="1"/>
  <c r="M364" i="1"/>
  <c r="K365" i="1"/>
  <c r="L365" i="1"/>
  <c r="K366" i="1"/>
  <c r="L366" i="1"/>
  <c r="M365" i="1" s="1"/>
  <c r="K367" i="1"/>
  <c r="L367" i="1"/>
  <c r="M366" i="1" s="1"/>
  <c r="M367" i="1"/>
  <c r="K368" i="1"/>
  <c r="L368" i="1"/>
  <c r="K369" i="1"/>
  <c r="L369" i="1"/>
  <c r="M368" i="1" s="1"/>
  <c r="K370" i="1"/>
  <c r="L370" i="1"/>
  <c r="M369" i="1" s="1"/>
  <c r="M370" i="1"/>
  <c r="K371" i="1"/>
  <c r="L371" i="1"/>
  <c r="M371" i="1"/>
  <c r="K372" i="1"/>
  <c r="L372" i="1"/>
  <c r="M372" i="1"/>
  <c r="K373" i="1"/>
  <c r="L373" i="1"/>
  <c r="K374" i="1"/>
  <c r="L374" i="1"/>
  <c r="M373" i="1" s="1"/>
  <c r="K375" i="1"/>
  <c r="L375" i="1"/>
  <c r="M374" i="1" s="1"/>
  <c r="M375" i="1"/>
  <c r="K376" i="1"/>
  <c r="L376" i="1"/>
  <c r="K377" i="1"/>
  <c r="L377" i="1"/>
  <c r="M376" i="1" s="1"/>
  <c r="K378" i="1"/>
  <c r="L378" i="1"/>
  <c r="M377" i="1" s="1"/>
  <c r="M378" i="1"/>
  <c r="K379" i="1"/>
  <c r="L379" i="1"/>
  <c r="M379" i="1"/>
  <c r="K380" i="1"/>
  <c r="L380" i="1"/>
  <c r="M380" i="1"/>
  <c r="K381" i="1"/>
  <c r="L381" i="1"/>
  <c r="K382" i="1"/>
  <c r="L382" i="1"/>
  <c r="M381" i="1" s="1"/>
  <c r="K383" i="1"/>
  <c r="L383" i="1"/>
  <c r="M382" i="1" s="1"/>
  <c r="M383" i="1"/>
  <c r="K384" i="1"/>
  <c r="L384" i="1"/>
  <c r="K385" i="1"/>
  <c r="L385" i="1"/>
  <c r="M384" i="1" s="1"/>
  <c r="K386" i="1"/>
  <c r="L386" i="1"/>
  <c r="M385" i="1" s="1"/>
  <c r="M386" i="1"/>
  <c r="K387" i="1"/>
  <c r="L387" i="1"/>
  <c r="M387" i="1"/>
  <c r="K388" i="1"/>
  <c r="L388" i="1"/>
  <c r="M388" i="1"/>
  <c r="K389" i="1"/>
  <c r="L389" i="1"/>
  <c r="K390" i="1"/>
  <c r="L390" i="1"/>
  <c r="M389" i="1" s="1"/>
  <c r="K391" i="1"/>
  <c r="L391" i="1"/>
  <c r="M390" i="1" s="1"/>
  <c r="M391" i="1"/>
  <c r="K392" i="1"/>
  <c r="L392" i="1"/>
  <c r="K393" i="1"/>
  <c r="L393" i="1"/>
  <c r="M392" i="1" s="1"/>
  <c r="K394" i="1"/>
  <c r="L394" i="1"/>
  <c r="M393" i="1" s="1"/>
  <c r="M394" i="1"/>
  <c r="K395" i="1"/>
  <c r="L395" i="1"/>
  <c r="M395" i="1"/>
  <c r="K396" i="1"/>
  <c r="L396" i="1"/>
  <c r="M396" i="1"/>
  <c r="K397" i="1"/>
  <c r="L397" i="1"/>
  <c r="K398" i="1"/>
  <c r="L398" i="1"/>
  <c r="M397" i="1" s="1"/>
  <c r="K399" i="1"/>
  <c r="L399" i="1"/>
  <c r="M398" i="1" s="1"/>
  <c r="M399" i="1"/>
  <c r="K400" i="1"/>
  <c r="L400" i="1"/>
  <c r="K401" i="1"/>
  <c r="L401" i="1"/>
  <c r="M400" i="1" s="1"/>
  <c r="K402" i="1"/>
  <c r="L402" i="1"/>
  <c r="M401" i="1" s="1"/>
  <c r="M402" i="1"/>
  <c r="K403" i="1"/>
  <c r="L403" i="1"/>
  <c r="M403" i="1"/>
  <c r="K404" i="1"/>
  <c r="L404" i="1"/>
  <c r="M404" i="1"/>
  <c r="K405" i="1"/>
  <c r="L405" i="1"/>
  <c r="K406" i="1"/>
  <c r="L406" i="1"/>
  <c r="M405" i="1" s="1"/>
  <c r="K407" i="1"/>
  <c r="L407" i="1"/>
  <c r="M406" i="1" s="1"/>
  <c r="M407" i="1"/>
  <c r="K408" i="1"/>
  <c r="L408" i="1"/>
  <c r="K409" i="1"/>
  <c r="L409" i="1"/>
  <c r="M408" i="1" s="1"/>
  <c r="K410" i="1"/>
  <c r="L410" i="1"/>
  <c r="M409" i="1" s="1"/>
  <c r="M410" i="1"/>
  <c r="K411" i="1"/>
  <c r="L411" i="1"/>
  <c r="M411" i="1"/>
  <c r="K412" i="1"/>
  <c r="L412" i="1"/>
  <c r="M412" i="1"/>
  <c r="K413" i="1"/>
  <c r="L413" i="1"/>
  <c r="K414" i="1"/>
  <c r="L414" i="1"/>
  <c r="M413" i="1" s="1"/>
  <c r="K415" i="1"/>
  <c r="L415" i="1"/>
  <c r="M414" i="1" s="1"/>
  <c r="M415" i="1"/>
  <c r="K416" i="1"/>
  <c r="L416" i="1"/>
  <c r="K417" i="1"/>
  <c r="L417" i="1"/>
  <c r="M416" i="1" s="1"/>
  <c r="K418" i="1"/>
  <c r="L418" i="1"/>
  <c r="M417" i="1" s="1"/>
  <c r="M418" i="1"/>
  <c r="K419" i="1"/>
  <c r="L419" i="1"/>
  <c r="M419" i="1"/>
  <c r="K420" i="1"/>
  <c r="L420" i="1"/>
  <c r="M420" i="1"/>
  <c r="K421" i="1"/>
  <c r="L421" i="1"/>
  <c r="K422" i="1"/>
  <c r="L422" i="1"/>
  <c r="M421" i="1" s="1"/>
  <c r="K423" i="1"/>
  <c r="L423" i="1"/>
  <c r="M422" i="1" s="1"/>
  <c r="M423" i="1"/>
  <c r="K424" i="1"/>
  <c r="L424" i="1"/>
  <c r="K425" i="1"/>
  <c r="L425" i="1"/>
  <c r="M424" i="1" s="1"/>
  <c r="K426" i="1"/>
  <c r="L426" i="1"/>
  <c r="M425" i="1" s="1"/>
  <c r="M426" i="1"/>
  <c r="K427" i="1"/>
  <c r="L427" i="1"/>
  <c r="M427" i="1"/>
  <c r="K428" i="1"/>
  <c r="L428" i="1"/>
  <c r="M428" i="1"/>
  <c r="K429" i="1"/>
  <c r="L429" i="1"/>
  <c r="K430" i="1"/>
  <c r="L430" i="1"/>
  <c r="M429" i="1" s="1"/>
  <c r="K431" i="1"/>
  <c r="L431" i="1"/>
  <c r="M430" i="1" s="1"/>
  <c r="M431" i="1"/>
  <c r="K432" i="1"/>
  <c r="L432" i="1"/>
  <c r="K433" i="1"/>
  <c r="L433" i="1"/>
  <c r="M432" i="1" s="1"/>
  <c r="K434" i="1"/>
  <c r="L434" i="1"/>
  <c r="M433" i="1" s="1"/>
  <c r="M434" i="1"/>
  <c r="K435" i="1"/>
  <c r="L435" i="1"/>
  <c r="M435" i="1"/>
  <c r="K436" i="1"/>
  <c r="L436" i="1"/>
  <c r="M436" i="1"/>
  <c r="K437" i="1"/>
  <c r="L437" i="1"/>
  <c r="K438" i="1"/>
  <c r="L438" i="1"/>
  <c r="M437" i="1" s="1"/>
  <c r="K439" i="1"/>
  <c r="L439" i="1"/>
  <c r="M438" i="1" s="1"/>
  <c r="M439" i="1"/>
  <c r="K440" i="1"/>
  <c r="L440" i="1"/>
  <c r="K441" i="1"/>
  <c r="L441" i="1"/>
  <c r="M440" i="1" s="1"/>
  <c r="K442" i="1"/>
  <c r="L442" i="1"/>
  <c r="M441" i="1" s="1"/>
  <c r="M442" i="1"/>
  <c r="K443" i="1"/>
  <c r="L443" i="1"/>
  <c r="M443" i="1"/>
  <c r="K444" i="1"/>
  <c r="L444" i="1"/>
  <c r="M444" i="1"/>
  <c r="K445" i="1"/>
  <c r="L445" i="1"/>
  <c r="K446" i="1"/>
  <c r="L446" i="1"/>
  <c r="M445" i="1" s="1"/>
  <c r="K447" i="1"/>
  <c r="L447" i="1"/>
  <c r="M446" i="1" s="1"/>
  <c r="M447" i="1"/>
  <c r="K448" i="1"/>
  <c r="L448" i="1"/>
  <c r="K449" i="1"/>
  <c r="L449" i="1"/>
  <c r="M448" i="1" s="1"/>
  <c r="K450" i="1"/>
  <c r="L450" i="1"/>
  <c r="M449" i="1" s="1"/>
  <c r="M450" i="1"/>
  <c r="K451" i="1"/>
  <c r="L451" i="1"/>
  <c r="M451" i="1"/>
  <c r="K452" i="1"/>
  <c r="L452" i="1"/>
  <c r="M452" i="1"/>
  <c r="K453" i="1"/>
  <c r="L453" i="1"/>
  <c r="K454" i="1"/>
  <c r="L454" i="1"/>
  <c r="M453" i="1" s="1"/>
  <c r="K455" i="1"/>
  <c r="L455" i="1"/>
  <c r="M454" i="1" s="1"/>
  <c r="M455" i="1"/>
  <c r="K456" i="1"/>
  <c r="L456" i="1"/>
  <c r="K457" i="1"/>
  <c r="L457" i="1"/>
  <c r="M456" i="1" s="1"/>
  <c r="K458" i="1"/>
  <c r="L458" i="1"/>
  <c r="M457" i="1" s="1"/>
  <c r="M458" i="1"/>
  <c r="K459" i="1"/>
  <c r="L459" i="1"/>
  <c r="M459" i="1"/>
  <c r="K460" i="1"/>
  <c r="L460" i="1"/>
  <c r="M460" i="1"/>
  <c r="K461" i="1"/>
  <c r="L461" i="1"/>
  <c r="K462" i="1"/>
  <c r="L462" i="1"/>
  <c r="M461" i="1" s="1"/>
  <c r="K463" i="1"/>
  <c r="L463" i="1"/>
  <c r="M462" i="1" s="1"/>
  <c r="M463" i="1"/>
  <c r="K464" i="1"/>
  <c r="L464" i="1"/>
  <c r="K465" i="1"/>
  <c r="L465" i="1"/>
  <c r="M464" i="1" s="1"/>
  <c r="K466" i="1"/>
  <c r="L466" i="1"/>
  <c r="M465" i="1" s="1"/>
  <c r="M466" i="1"/>
  <c r="K467" i="1"/>
  <c r="L467" i="1"/>
  <c r="M467" i="1"/>
  <c r="K468" i="1"/>
  <c r="L468" i="1"/>
  <c r="M468" i="1"/>
  <c r="K469" i="1"/>
  <c r="L469" i="1"/>
  <c r="K470" i="1"/>
  <c r="L470" i="1"/>
  <c r="M469" i="1" s="1"/>
  <c r="K471" i="1"/>
  <c r="L471" i="1"/>
  <c r="M470" i="1" s="1"/>
  <c r="M471" i="1"/>
  <c r="K472" i="1"/>
  <c r="L472" i="1"/>
  <c r="K473" i="1"/>
  <c r="L473" i="1"/>
  <c r="M472" i="1" s="1"/>
  <c r="K474" i="1"/>
  <c r="L474" i="1"/>
  <c r="M473" i="1" s="1"/>
  <c r="M474" i="1"/>
  <c r="K475" i="1"/>
  <c r="L475" i="1"/>
  <c r="M475" i="1"/>
  <c r="K476" i="1"/>
  <c r="L476" i="1"/>
  <c r="M476" i="1"/>
  <c r="K477" i="1"/>
  <c r="L477" i="1"/>
  <c r="K478" i="1"/>
  <c r="L478" i="1"/>
  <c r="M477" i="1" s="1"/>
  <c r="K479" i="1"/>
  <c r="L479" i="1"/>
  <c r="M478" i="1" s="1"/>
  <c r="M479" i="1"/>
  <c r="K480" i="1"/>
  <c r="L480" i="1"/>
  <c r="K481" i="1"/>
  <c r="L481" i="1"/>
  <c r="M480" i="1" s="1"/>
  <c r="K482" i="1"/>
  <c r="L482" i="1"/>
  <c r="M481" i="1" s="1"/>
  <c r="M482" i="1"/>
  <c r="K483" i="1"/>
  <c r="L483" i="1"/>
  <c r="M483" i="1"/>
  <c r="K484" i="1"/>
  <c r="L484" i="1"/>
  <c r="M484" i="1"/>
  <c r="K485" i="1"/>
  <c r="L485" i="1"/>
  <c r="K486" i="1"/>
  <c r="L486" i="1"/>
  <c r="M485" i="1" s="1"/>
  <c r="K487" i="1"/>
  <c r="L487" i="1"/>
  <c r="M486" i="1" s="1"/>
  <c r="M487" i="1"/>
  <c r="K488" i="1"/>
  <c r="L488" i="1"/>
  <c r="K489" i="1"/>
  <c r="L489" i="1"/>
  <c r="M488" i="1" s="1"/>
  <c r="K490" i="1"/>
  <c r="L490" i="1"/>
  <c r="M489" i="1" s="1"/>
  <c r="M490" i="1"/>
  <c r="K491" i="1"/>
  <c r="L491" i="1"/>
  <c r="M491" i="1"/>
  <c r="K492" i="1"/>
  <c r="L492" i="1"/>
  <c r="M492" i="1"/>
  <c r="K493" i="1"/>
  <c r="L493" i="1"/>
  <c r="K494" i="1"/>
  <c r="L494" i="1"/>
  <c r="M493" i="1" s="1"/>
  <c r="K495" i="1"/>
  <c r="L495" i="1"/>
  <c r="M494" i="1" s="1"/>
  <c r="M495" i="1"/>
  <c r="K496" i="1"/>
  <c r="L496" i="1"/>
  <c r="K497" i="1"/>
  <c r="L497" i="1"/>
  <c r="M496" i="1" s="1"/>
  <c r="K498" i="1"/>
  <c r="L498" i="1"/>
  <c r="M497" i="1" s="1"/>
  <c r="M498" i="1"/>
  <c r="K499" i="1"/>
  <c r="L499" i="1"/>
  <c r="M499" i="1"/>
  <c r="K500" i="1"/>
  <c r="L500" i="1"/>
  <c r="M500" i="1"/>
  <c r="K501" i="1"/>
  <c r="L501" i="1"/>
  <c r="K502" i="1"/>
  <c r="L502" i="1"/>
  <c r="M501" i="1" s="1"/>
  <c r="K503" i="1"/>
  <c r="L503" i="1"/>
  <c r="M502" i="1" s="1"/>
  <c r="M503" i="1"/>
  <c r="K504" i="1"/>
  <c r="L504" i="1"/>
  <c r="K505" i="1"/>
  <c r="L505" i="1"/>
  <c r="M504" i="1" s="1"/>
  <c r="K506" i="1"/>
  <c r="L506" i="1"/>
  <c r="M505" i="1" s="1"/>
  <c r="M506" i="1"/>
  <c r="K507" i="1"/>
  <c r="L507" i="1"/>
  <c r="M507" i="1"/>
  <c r="K508" i="1"/>
  <c r="L508" i="1"/>
  <c r="M508" i="1"/>
  <c r="K509" i="1"/>
  <c r="L509" i="1"/>
  <c r="K510" i="1"/>
  <c r="L510" i="1"/>
  <c r="M509" i="1" s="1"/>
  <c r="K511" i="1"/>
  <c r="L511" i="1"/>
  <c r="M510" i="1" s="1"/>
  <c r="M511" i="1"/>
  <c r="K512" i="1"/>
  <c r="L512" i="1"/>
  <c r="K513" i="1"/>
  <c r="L513" i="1"/>
  <c r="M512" i="1" s="1"/>
  <c r="K514" i="1"/>
  <c r="L514" i="1"/>
  <c r="M513" i="1" s="1"/>
  <c r="M514" i="1"/>
  <c r="K515" i="1"/>
  <c r="L515" i="1"/>
  <c r="M515" i="1"/>
  <c r="K516" i="1"/>
  <c r="L516" i="1"/>
  <c r="M516" i="1"/>
  <c r="K517" i="1"/>
  <c r="L517" i="1"/>
  <c r="K518" i="1"/>
  <c r="L518" i="1"/>
  <c r="M517" i="1" s="1"/>
  <c r="K519" i="1"/>
  <c r="L519" i="1"/>
  <c r="M518" i="1" s="1"/>
  <c r="M519" i="1"/>
  <c r="K520" i="1"/>
  <c r="L520" i="1"/>
  <c r="K521" i="1"/>
  <c r="L521" i="1"/>
  <c r="M520" i="1" s="1"/>
  <c r="K522" i="1"/>
  <c r="L522" i="1"/>
  <c r="M521" i="1" s="1"/>
  <c r="M522" i="1"/>
  <c r="K523" i="1"/>
  <c r="L523" i="1"/>
  <c r="M523" i="1"/>
  <c r="K524" i="1"/>
  <c r="L524" i="1"/>
  <c r="M524" i="1"/>
  <c r="K525" i="1"/>
  <c r="L525" i="1"/>
  <c r="K526" i="1"/>
  <c r="L526" i="1"/>
  <c r="M525" i="1" s="1"/>
  <c r="K527" i="1"/>
  <c r="L527" i="1"/>
  <c r="M526" i="1" s="1"/>
  <c r="M527" i="1"/>
  <c r="K528" i="1"/>
  <c r="L528" i="1"/>
  <c r="K529" i="1"/>
  <c r="L529" i="1"/>
  <c r="M528" i="1" s="1"/>
  <c r="K530" i="1"/>
  <c r="L530" i="1"/>
  <c r="M529" i="1" s="1"/>
  <c r="M530" i="1"/>
  <c r="K531" i="1"/>
  <c r="L531" i="1"/>
  <c r="M531" i="1"/>
  <c r="K532" i="1"/>
  <c r="L532" i="1"/>
  <c r="M532" i="1"/>
  <c r="K533" i="1"/>
  <c r="L533" i="1"/>
  <c r="K534" i="1"/>
  <c r="L534" i="1"/>
  <c r="M533" i="1" s="1"/>
  <c r="K535" i="1"/>
  <c r="L535" i="1"/>
  <c r="M534" i="1" s="1"/>
  <c r="M535" i="1"/>
  <c r="K536" i="1"/>
  <c r="L536" i="1"/>
  <c r="K537" i="1"/>
  <c r="L537" i="1"/>
  <c r="M536" i="1" s="1"/>
  <c r="K538" i="1"/>
  <c r="L538" i="1"/>
  <c r="M537" i="1" s="1"/>
  <c r="M538" i="1"/>
  <c r="K539" i="1"/>
  <c r="L539" i="1"/>
  <c r="M539" i="1"/>
  <c r="K540" i="1"/>
  <c r="L540" i="1"/>
  <c r="M540" i="1"/>
  <c r="K541" i="1"/>
  <c r="L541" i="1"/>
  <c r="K542" i="1"/>
  <c r="L542" i="1"/>
  <c r="M541" i="1" s="1"/>
  <c r="K543" i="1"/>
  <c r="L543" i="1"/>
  <c r="M542" i="1" s="1"/>
  <c r="M543" i="1"/>
  <c r="K544" i="1"/>
  <c r="L544" i="1"/>
  <c r="K545" i="1"/>
  <c r="L545" i="1"/>
  <c r="M544" i="1" s="1"/>
  <c r="K546" i="1"/>
  <c r="L546" i="1"/>
  <c r="M545" i="1" s="1"/>
  <c r="M546" i="1"/>
  <c r="K547" i="1"/>
  <c r="L547" i="1"/>
  <c r="M547" i="1"/>
  <c r="K548" i="1"/>
  <c r="L548" i="1"/>
  <c r="M548" i="1"/>
  <c r="K549" i="1"/>
  <c r="L549" i="1"/>
  <c r="K550" i="1"/>
  <c r="L550" i="1"/>
  <c r="M549" i="1" s="1"/>
  <c r="K551" i="1"/>
  <c r="L551" i="1"/>
  <c r="M550" i="1" s="1"/>
  <c r="M551" i="1"/>
  <c r="K552" i="1"/>
  <c r="L552" i="1"/>
  <c r="K553" i="1"/>
  <c r="L553" i="1"/>
  <c r="M552" i="1" s="1"/>
  <c r="K554" i="1"/>
  <c r="L554" i="1"/>
  <c r="M553" i="1" s="1"/>
  <c r="M554" i="1"/>
  <c r="K555" i="1"/>
  <c r="L555" i="1"/>
  <c r="M555" i="1"/>
  <c r="K556" i="1"/>
  <c r="L556" i="1"/>
  <c r="M556" i="1"/>
  <c r="K557" i="1"/>
  <c r="L557" i="1"/>
  <c r="K558" i="1"/>
  <c r="L558" i="1"/>
  <c r="M557" i="1" s="1"/>
  <c r="K559" i="1"/>
  <c r="L559" i="1"/>
  <c r="M558" i="1" s="1"/>
  <c r="M559" i="1"/>
  <c r="K560" i="1"/>
  <c r="L560" i="1"/>
  <c r="K561" i="1"/>
  <c r="L561" i="1"/>
  <c r="M560" i="1" s="1"/>
  <c r="K562" i="1"/>
  <c r="L562" i="1"/>
  <c r="M561" i="1" s="1"/>
  <c r="M562" i="1"/>
  <c r="K563" i="1"/>
  <c r="L563" i="1"/>
  <c r="M563" i="1"/>
  <c r="K564" i="1"/>
  <c r="L564" i="1"/>
  <c r="M564" i="1"/>
  <c r="K565" i="1"/>
  <c r="L565" i="1"/>
  <c r="K566" i="1"/>
  <c r="L566" i="1"/>
  <c r="M565" i="1" s="1"/>
  <c r="K567" i="1"/>
  <c r="L567" i="1"/>
  <c r="M566" i="1" s="1"/>
  <c r="M567" i="1"/>
  <c r="K568" i="1"/>
  <c r="L568" i="1"/>
  <c r="K569" i="1"/>
  <c r="L569" i="1"/>
  <c r="M568" i="1" s="1"/>
  <c r="K570" i="1"/>
  <c r="L570" i="1"/>
  <c r="M569" i="1" s="1"/>
  <c r="M570" i="1"/>
  <c r="K571" i="1"/>
  <c r="L571" i="1"/>
  <c r="M571" i="1"/>
  <c r="K572" i="1"/>
  <c r="L572" i="1"/>
  <c r="M572" i="1"/>
  <c r="K573" i="1"/>
  <c r="L573" i="1"/>
  <c r="K574" i="1"/>
  <c r="L574" i="1"/>
  <c r="M573" i="1" s="1"/>
  <c r="K575" i="1"/>
  <c r="L575" i="1"/>
  <c r="M574" i="1" s="1"/>
  <c r="M575" i="1"/>
  <c r="K576" i="1"/>
  <c r="L576" i="1"/>
  <c r="K577" i="1"/>
  <c r="L577" i="1"/>
  <c r="M576" i="1" s="1"/>
  <c r="M577" i="1"/>
  <c r="K578" i="1"/>
  <c r="L578" i="1"/>
  <c r="M578" i="1"/>
  <c r="K579" i="1"/>
  <c r="L579" i="1"/>
  <c r="M579" i="1"/>
  <c r="K580" i="1"/>
  <c r="L580" i="1"/>
  <c r="K581" i="1"/>
  <c r="L581" i="1"/>
  <c r="M580" i="1" s="1"/>
  <c r="K582" i="1"/>
  <c r="L582" i="1"/>
  <c r="M581" i="1" s="1"/>
  <c r="K583" i="1"/>
  <c r="L583" i="1"/>
  <c r="M582" i="1" s="1"/>
  <c r="M583" i="1"/>
  <c r="K584" i="1"/>
  <c r="L584" i="1"/>
  <c r="K585" i="1"/>
  <c r="L585" i="1"/>
  <c r="M584" i="1" s="1"/>
  <c r="K586" i="1"/>
  <c r="L586" i="1"/>
  <c r="M585" i="1" s="1"/>
  <c r="M586" i="1"/>
  <c r="K587" i="1"/>
  <c r="L587" i="1"/>
  <c r="K588" i="1"/>
  <c r="L588" i="1"/>
  <c r="M587" i="1" s="1"/>
  <c r="M588" i="1"/>
  <c r="K589" i="1"/>
  <c r="L589" i="1"/>
  <c r="K590" i="1"/>
  <c r="L590" i="1"/>
  <c r="M589" i="1" s="1"/>
  <c r="K591" i="1"/>
  <c r="L591" i="1"/>
  <c r="M590" i="1" s="1"/>
  <c r="M591" i="1"/>
  <c r="K592" i="1"/>
  <c r="L592" i="1"/>
  <c r="K593" i="1"/>
  <c r="L593" i="1"/>
  <c r="M592" i="1" s="1"/>
  <c r="K594" i="1"/>
  <c r="L594" i="1"/>
  <c r="M593" i="1" s="1"/>
  <c r="M594" i="1"/>
  <c r="K595" i="1"/>
  <c r="L595" i="1"/>
  <c r="K596" i="1"/>
  <c r="L596" i="1"/>
  <c r="M595" i="1" s="1"/>
  <c r="K597" i="1"/>
  <c r="L597" i="1"/>
  <c r="M596" i="1" s="1"/>
  <c r="M597" i="1"/>
  <c r="K598" i="1"/>
  <c r="L598" i="1"/>
  <c r="K599" i="1"/>
  <c r="L599" i="1"/>
  <c r="M598" i="1" s="1"/>
  <c r="K600" i="1"/>
  <c r="L600" i="1"/>
  <c r="M599" i="1" s="1"/>
  <c r="K601" i="1"/>
  <c r="L601" i="1"/>
  <c r="M600" i="1" s="1"/>
  <c r="K602" i="1"/>
  <c r="L602" i="1"/>
  <c r="M601" i="1" s="1"/>
  <c r="M602" i="1"/>
  <c r="K603" i="1"/>
  <c r="L603" i="1"/>
  <c r="M603" i="1"/>
  <c r="K604" i="1"/>
  <c r="L604" i="1"/>
  <c r="M604" i="1"/>
  <c r="K605" i="1"/>
  <c r="L605" i="1"/>
  <c r="M605" i="1"/>
  <c r="K606" i="1"/>
  <c r="L606" i="1"/>
  <c r="K607" i="1"/>
  <c r="L607" i="1"/>
  <c r="M606" i="1" s="1"/>
  <c r="K608" i="1"/>
  <c r="L608" i="1"/>
  <c r="M607" i="1" s="1"/>
  <c r="K609" i="1"/>
  <c r="L609" i="1"/>
  <c r="M608" i="1" s="1"/>
  <c r="K610" i="1"/>
  <c r="L610" i="1"/>
  <c r="M609" i="1" s="1"/>
  <c r="M610" i="1"/>
  <c r="K611" i="1"/>
  <c r="L611" i="1"/>
  <c r="M611" i="1"/>
  <c r="K612" i="1"/>
  <c r="L612" i="1"/>
  <c r="K613" i="1"/>
  <c r="L613" i="1"/>
  <c r="M612" i="1" s="1"/>
  <c r="K614" i="1"/>
  <c r="L614" i="1"/>
  <c r="M613" i="1" s="1"/>
  <c r="M614" i="1"/>
  <c r="K615" i="1"/>
  <c r="L615" i="1"/>
  <c r="M615" i="1"/>
  <c r="K616" i="1"/>
  <c r="L616" i="1"/>
  <c r="K617" i="1"/>
  <c r="L617" i="1"/>
  <c r="M616" i="1" s="1"/>
  <c r="M617" i="1"/>
  <c r="K618" i="1"/>
  <c r="L618" i="1"/>
  <c r="M618" i="1"/>
  <c r="K619" i="1"/>
  <c r="L619" i="1"/>
  <c r="M619" i="1"/>
  <c r="K620" i="1"/>
  <c r="L620" i="1"/>
  <c r="K621" i="1"/>
  <c r="L621" i="1"/>
  <c r="M620" i="1" s="1"/>
  <c r="K622" i="1"/>
  <c r="L622" i="1"/>
  <c r="M621" i="1" s="1"/>
  <c r="M622" i="1"/>
  <c r="K623" i="1"/>
  <c r="L623" i="1"/>
  <c r="K624" i="1"/>
  <c r="L624" i="1"/>
  <c r="M623" i="1" s="1"/>
  <c r="K625" i="1"/>
  <c r="L625" i="1"/>
  <c r="M624" i="1" s="1"/>
  <c r="M625" i="1"/>
  <c r="K626" i="1"/>
  <c r="L626" i="1"/>
  <c r="M626" i="1"/>
  <c r="K627" i="1"/>
  <c r="L627" i="1"/>
  <c r="K628" i="1"/>
  <c r="L628" i="1"/>
  <c r="M627" i="1" s="1"/>
  <c r="M628" i="1"/>
  <c r="K629" i="1"/>
  <c r="L629" i="1"/>
  <c r="M629" i="1"/>
  <c r="K630" i="1"/>
  <c r="L630" i="1"/>
  <c r="M630" i="1"/>
  <c r="K631" i="1"/>
  <c r="L631" i="1"/>
  <c r="K632" i="1"/>
  <c r="L632" i="1"/>
  <c r="M631" i="1" s="1"/>
  <c r="K633" i="1"/>
  <c r="L633" i="1"/>
  <c r="M632" i="1" s="1"/>
  <c r="M633" i="1"/>
  <c r="K634" i="1"/>
  <c r="L634" i="1"/>
  <c r="K635" i="1"/>
  <c r="L635" i="1"/>
  <c r="M634" i="1" s="1"/>
  <c r="K636" i="1"/>
  <c r="L636" i="1"/>
  <c r="M635" i="1" s="1"/>
  <c r="M636" i="1"/>
  <c r="K637" i="1"/>
  <c r="L637" i="1"/>
  <c r="K638" i="1"/>
  <c r="L638" i="1"/>
  <c r="M637" i="1" s="1"/>
  <c r="K639" i="1"/>
  <c r="L639" i="1"/>
  <c r="M638" i="1" s="1"/>
  <c r="M639" i="1"/>
  <c r="K640" i="1"/>
  <c r="L640" i="1"/>
  <c r="M640" i="1"/>
  <c r="K641" i="1"/>
  <c r="L641" i="1"/>
  <c r="M641" i="1"/>
  <c r="K642" i="1"/>
  <c r="L642" i="1"/>
  <c r="K643" i="1"/>
  <c r="L643" i="1"/>
  <c r="M642" i="1" s="1"/>
  <c r="K644" i="1"/>
  <c r="L644" i="1"/>
  <c r="M643" i="1" s="1"/>
  <c r="M644" i="1"/>
  <c r="K645" i="1"/>
  <c r="L645" i="1"/>
  <c r="K646" i="1"/>
  <c r="L646" i="1"/>
  <c r="M645" i="1" s="1"/>
  <c r="K647" i="1"/>
  <c r="L647" i="1"/>
  <c r="M646" i="1" s="1"/>
  <c r="M647" i="1"/>
  <c r="K648" i="1"/>
  <c r="L648" i="1"/>
  <c r="M648" i="1"/>
  <c r="K649" i="1"/>
  <c r="L649" i="1"/>
  <c r="M649" i="1"/>
  <c r="K650" i="1"/>
  <c r="L650" i="1"/>
  <c r="K651" i="1"/>
  <c r="L651" i="1"/>
  <c r="M650" i="1" s="1"/>
  <c r="K652" i="1"/>
  <c r="L652" i="1"/>
  <c r="M651" i="1" s="1"/>
  <c r="M652" i="1"/>
  <c r="K653" i="1"/>
  <c r="L653" i="1"/>
  <c r="K654" i="1"/>
  <c r="L654" i="1"/>
  <c r="M653" i="1" s="1"/>
  <c r="K655" i="1"/>
  <c r="L655" i="1"/>
  <c r="M654" i="1" s="1"/>
  <c r="M655" i="1"/>
  <c r="K656" i="1"/>
  <c r="L656" i="1"/>
  <c r="M656" i="1"/>
  <c r="K657" i="1"/>
  <c r="L657" i="1"/>
  <c r="M657" i="1"/>
  <c r="K658" i="1"/>
  <c r="L658" i="1"/>
  <c r="K659" i="1"/>
  <c r="L659" i="1"/>
  <c r="M658" i="1" s="1"/>
  <c r="K660" i="1"/>
  <c r="L660" i="1"/>
  <c r="M659" i="1" s="1"/>
  <c r="M660" i="1"/>
  <c r="K661" i="1"/>
  <c r="L661" i="1"/>
  <c r="K662" i="1"/>
  <c r="L662" i="1"/>
  <c r="M661" i="1" s="1"/>
  <c r="K663" i="1"/>
  <c r="L663" i="1"/>
  <c r="M662" i="1" s="1"/>
  <c r="M663" i="1"/>
  <c r="K664" i="1"/>
  <c r="L664" i="1"/>
  <c r="M664" i="1"/>
  <c r="K665" i="1"/>
  <c r="L665" i="1"/>
  <c r="M665" i="1"/>
  <c r="K666" i="1"/>
  <c r="L666" i="1"/>
  <c r="K667" i="1"/>
  <c r="L667" i="1"/>
  <c r="M666" i="1" s="1"/>
  <c r="K668" i="1"/>
  <c r="L668" i="1"/>
  <c r="M667" i="1" s="1"/>
  <c r="M668" i="1"/>
  <c r="K669" i="1"/>
  <c r="L669" i="1"/>
  <c r="K670" i="1"/>
  <c r="L670" i="1"/>
  <c r="M669" i="1" s="1"/>
  <c r="K671" i="1"/>
  <c r="L671" i="1"/>
  <c r="M670" i="1" s="1"/>
  <c r="M671" i="1"/>
  <c r="K672" i="1"/>
  <c r="L672" i="1"/>
  <c r="M672" i="1"/>
  <c r="K673" i="1"/>
  <c r="L673" i="1"/>
  <c r="M673" i="1"/>
  <c r="K674" i="1"/>
  <c r="L674" i="1"/>
  <c r="K675" i="1"/>
  <c r="L675" i="1"/>
  <c r="M674" i="1" s="1"/>
  <c r="K676" i="1"/>
  <c r="L676" i="1"/>
  <c r="M675" i="1" s="1"/>
  <c r="M676" i="1"/>
  <c r="K677" i="1"/>
  <c r="L677" i="1"/>
  <c r="K678" i="1"/>
  <c r="L678" i="1"/>
  <c r="M677" i="1" s="1"/>
  <c r="K679" i="1"/>
  <c r="L679" i="1"/>
  <c r="M678" i="1" s="1"/>
  <c r="M679" i="1"/>
  <c r="K680" i="1"/>
  <c r="L680" i="1"/>
  <c r="M680" i="1"/>
  <c r="K681" i="1"/>
  <c r="L681" i="1"/>
  <c r="M681" i="1"/>
  <c r="K682" i="1"/>
  <c r="L682" i="1"/>
  <c r="K683" i="1"/>
  <c r="L683" i="1"/>
  <c r="M682" i="1" s="1"/>
  <c r="K684" i="1"/>
  <c r="L684" i="1"/>
  <c r="M683" i="1" s="1"/>
  <c r="M684" i="1"/>
  <c r="K685" i="1"/>
  <c r="L685" i="1"/>
  <c r="K686" i="1"/>
  <c r="L686" i="1"/>
  <c r="M685" i="1" s="1"/>
  <c r="K687" i="1"/>
  <c r="L687" i="1"/>
  <c r="M686" i="1" s="1"/>
  <c r="M687" i="1"/>
  <c r="K688" i="1"/>
  <c r="L688" i="1"/>
  <c r="M688" i="1"/>
  <c r="K689" i="1"/>
  <c r="L689" i="1"/>
  <c r="M689" i="1"/>
  <c r="K690" i="1"/>
  <c r="L690" i="1"/>
  <c r="K691" i="1"/>
  <c r="L691" i="1"/>
  <c r="M690" i="1" s="1"/>
  <c r="K692" i="1"/>
  <c r="L692" i="1"/>
  <c r="M691" i="1" s="1"/>
  <c r="M692" i="1"/>
  <c r="K693" i="1"/>
  <c r="L693" i="1"/>
  <c r="K694" i="1"/>
  <c r="L694" i="1"/>
  <c r="M693" i="1" s="1"/>
  <c r="K695" i="1"/>
  <c r="L695" i="1"/>
  <c r="M694" i="1" s="1"/>
  <c r="M695" i="1"/>
  <c r="K696" i="1"/>
  <c r="L696" i="1"/>
  <c r="M696" i="1"/>
  <c r="K697" i="1"/>
  <c r="L697" i="1"/>
  <c r="M697" i="1"/>
  <c r="K698" i="1"/>
  <c r="L698" i="1"/>
  <c r="K699" i="1"/>
  <c r="L699" i="1"/>
  <c r="M698" i="1" s="1"/>
  <c r="K700" i="1"/>
  <c r="L700" i="1"/>
  <c r="M699" i="1" s="1"/>
  <c r="M700" i="1"/>
  <c r="K701" i="1"/>
  <c r="L701" i="1"/>
  <c r="K702" i="1"/>
  <c r="L702" i="1"/>
  <c r="M701" i="1" s="1"/>
  <c r="K703" i="1"/>
  <c r="L703" i="1"/>
  <c r="M702" i="1" s="1"/>
  <c r="M703" i="1"/>
  <c r="K704" i="1"/>
  <c r="L704" i="1"/>
  <c r="M704" i="1"/>
  <c r="K705" i="1"/>
  <c r="L705" i="1"/>
  <c r="M705" i="1"/>
  <c r="K706" i="1"/>
  <c r="L706" i="1"/>
  <c r="K707" i="1"/>
  <c r="L707" i="1"/>
  <c r="M706" i="1" s="1"/>
  <c r="K708" i="1"/>
  <c r="L708" i="1"/>
  <c r="M707" i="1" s="1"/>
  <c r="M708" i="1"/>
  <c r="K709" i="1"/>
  <c r="L709" i="1"/>
  <c r="K710" i="1"/>
  <c r="L710" i="1"/>
  <c r="M709" i="1" s="1"/>
  <c r="K711" i="1"/>
  <c r="L711" i="1"/>
  <c r="M710" i="1" s="1"/>
  <c r="M711" i="1"/>
  <c r="K712" i="1"/>
  <c r="L712" i="1"/>
  <c r="M712" i="1"/>
  <c r="K713" i="1"/>
  <c r="L713" i="1"/>
  <c r="M713" i="1"/>
  <c r="K714" i="1"/>
  <c r="L714" i="1"/>
  <c r="K715" i="1"/>
  <c r="L715" i="1"/>
  <c r="M714" i="1" s="1"/>
  <c r="K716" i="1"/>
  <c r="L716" i="1"/>
  <c r="M715" i="1" s="1"/>
  <c r="M716" i="1"/>
  <c r="K717" i="1"/>
  <c r="L717" i="1"/>
  <c r="K718" i="1"/>
  <c r="L718" i="1"/>
  <c r="M717" i="1" s="1"/>
  <c r="K719" i="1"/>
  <c r="L719" i="1"/>
  <c r="M718" i="1" s="1"/>
  <c r="M719" i="1"/>
  <c r="K720" i="1"/>
  <c r="L720" i="1"/>
  <c r="M720" i="1"/>
  <c r="K721" i="1"/>
  <c r="L721" i="1"/>
  <c r="M721" i="1"/>
  <c r="K722" i="1"/>
  <c r="L722" i="1"/>
  <c r="K723" i="1"/>
  <c r="L723" i="1"/>
  <c r="M722" i="1" s="1"/>
  <c r="K724" i="1"/>
  <c r="L724" i="1"/>
  <c r="M723" i="1" s="1"/>
  <c r="M724" i="1"/>
  <c r="K725" i="1"/>
  <c r="L725" i="1"/>
  <c r="K726" i="1"/>
  <c r="L726" i="1"/>
  <c r="M725" i="1" s="1"/>
  <c r="K727" i="1"/>
  <c r="L727" i="1"/>
  <c r="M726" i="1" s="1"/>
  <c r="M727" i="1"/>
  <c r="K728" i="1"/>
  <c r="L728" i="1"/>
  <c r="M728" i="1"/>
  <c r="K729" i="1"/>
  <c r="L729" i="1"/>
  <c r="M729" i="1"/>
  <c r="K730" i="1"/>
  <c r="L730" i="1"/>
  <c r="K731" i="1"/>
  <c r="L731" i="1"/>
  <c r="M730" i="1" s="1"/>
  <c r="K732" i="1"/>
  <c r="L732" i="1"/>
  <c r="M731" i="1" s="1"/>
  <c r="M732" i="1"/>
  <c r="K733" i="1"/>
  <c r="L733" i="1"/>
  <c r="K734" i="1"/>
  <c r="L734" i="1"/>
  <c r="M733" i="1" s="1"/>
  <c r="K735" i="1"/>
  <c r="L735" i="1"/>
  <c r="M734" i="1" s="1"/>
  <c r="M735" i="1"/>
  <c r="K736" i="1"/>
  <c r="L736" i="1"/>
  <c r="M736" i="1"/>
  <c r="K737" i="1"/>
  <c r="L737" i="1"/>
  <c r="M737" i="1"/>
  <c r="K738" i="1"/>
  <c r="L738" i="1"/>
  <c r="K739" i="1"/>
  <c r="L739" i="1"/>
  <c r="M738" i="1" s="1"/>
  <c r="K740" i="1"/>
  <c r="L740" i="1"/>
  <c r="M739" i="1" s="1"/>
  <c r="M740" i="1"/>
  <c r="K741" i="1"/>
  <c r="L741" i="1"/>
  <c r="K742" i="1"/>
  <c r="L742" i="1"/>
  <c r="M741" i="1" s="1"/>
  <c r="K743" i="1"/>
  <c r="L743" i="1"/>
  <c r="M742" i="1" s="1"/>
  <c r="M743" i="1"/>
  <c r="K744" i="1"/>
  <c r="L744" i="1"/>
  <c r="M744" i="1"/>
  <c r="K745" i="1"/>
  <c r="L745" i="1"/>
  <c r="M745" i="1"/>
  <c r="K746" i="1"/>
  <c r="L746" i="1"/>
  <c r="K747" i="1"/>
  <c r="L747" i="1"/>
  <c r="M746" i="1" s="1"/>
  <c r="K748" i="1"/>
  <c r="L748" i="1"/>
  <c r="M747" i="1" s="1"/>
  <c r="M748" i="1"/>
  <c r="K749" i="1"/>
  <c r="L749" i="1"/>
  <c r="K750" i="1"/>
  <c r="L750" i="1"/>
  <c r="M749" i="1" s="1"/>
  <c r="K751" i="1"/>
  <c r="L751" i="1"/>
  <c r="M750" i="1" s="1"/>
  <c r="M751" i="1"/>
  <c r="K752" i="1"/>
  <c r="L752" i="1"/>
  <c r="M752" i="1"/>
  <c r="K753" i="1"/>
  <c r="L753" i="1"/>
  <c r="M753" i="1"/>
  <c r="K754" i="1"/>
  <c r="L754" i="1"/>
  <c r="K755" i="1"/>
  <c r="L755" i="1"/>
  <c r="M754" i="1" s="1"/>
  <c r="K756" i="1"/>
  <c r="L756" i="1"/>
  <c r="M755" i="1" s="1"/>
  <c r="M756" i="1"/>
  <c r="K757" i="1"/>
  <c r="L757" i="1"/>
  <c r="K758" i="1"/>
  <c r="L758" i="1"/>
  <c r="M757" i="1" s="1"/>
  <c r="K759" i="1"/>
  <c r="L759" i="1"/>
  <c r="M758" i="1" s="1"/>
  <c r="M759" i="1"/>
  <c r="K760" i="1"/>
  <c r="L760" i="1"/>
  <c r="M760" i="1"/>
  <c r="K761" i="1"/>
  <c r="L761" i="1"/>
  <c r="M761" i="1"/>
  <c r="K762" i="1"/>
  <c r="L762" i="1"/>
  <c r="K763" i="1"/>
  <c r="L763" i="1"/>
  <c r="M762" i="1" s="1"/>
  <c r="K764" i="1"/>
  <c r="L764" i="1"/>
  <c r="M763" i="1" s="1"/>
  <c r="M764" i="1"/>
  <c r="K765" i="1"/>
  <c r="L765" i="1"/>
  <c r="K766" i="1"/>
  <c r="L766" i="1"/>
  <c r="M765" i="1" s="1"/>
  <c r="K767" i="1"/>
  <c r="L767" i="1"/>
  <c r="M766" i="1" s="1"/>
  <c r="M767" i="1"/>
  <c r="K768" i="1"/>
  <c r="L768" i="1"/>
  <c r="M768" i="1"/>
  <c r="K769" i="1"/>
  <c r="L769" i="1"/>
  <c r="M769" i="1"/>
  <c r="K770" i="1"/>
  <c r="L770" i="1"/>
  <c r="K771" i="1"/>
  <c r="L771" i="1"/>
  <c r="M770" i="1" s="1"/>
  <c r="K772" i="1"/>
  <c r="L772" i="1"/>
  <c r="M771" i="1" s="1"/>
  <c r="M772" i="1"/>
  <c r="K773" i="1"/>
  <c r="L773" i="1"/>
  <c r="K774" i="1"/>
  <c r="L774" i="1"/>
  <c r="M773" i="1" s="1"/>
  <c r="K775" i="1"/>
  <c r="L775" i="1"/>
  <c r="M774" i="1" s="1"/>
  <c r="M775" i="1"/>
  <c r="K776" i="1"/>
  <c r="L776" i="1"/>
  <c r="M776" i="1"/>
  <c r="K777" i="1"/>
  <c r="L777" i="1"/>
  <c r="M777" i="1"/>
  <c r="K778" i="1"/>
  <c r="L778" i="1"/>
  <c r="K779" i="1"/>
  <c r="L779" i="1"/>
  <c r="M778" i="1" s="1"/>
  <c r="K780" i="1"/>
  <c r="L780" i="1"/>
  <c r="M779" i="1" s="1"/>
  <c r="M780" i="1"/>
  <c r="K781" i="1"/>
  <c r="L781" i="1"/>
  <c r="K782" i="1"/>
  <c r="L782" i="1"/>
  <c r="M781" i="1" s="1"/>
  <c r="K783" i="1"/>
  <c r="L783" i="1"/>
  <c r="M782" i="1" s="1"/>
  <c r="M783" i="1"/>
  <c r="K784" i="1"/>
  <c r="L784" i="1"/>
  <c r="M784" i="1"/>
  <c r="K785" i="1"/>
  <c r="L785" i="1"/>
  <c r="M785" i="1"/>
  <c r="K786" i="1"/>
  <c r="L786" i="1"/>
  <c r="K787" i="1"/>
  <c r="L787" i="1"/>
  <c r="M786" i="1" s="1"/>
  <c r="K788" i="1"/>
  <c r="L788" i="1"/>
  <c r="M787" i="1" s="1"/>
  <c r="M788" i="1"/>
  <c r="K789" i="1"/>
  <c r="L789" i="1"/>
  <c r="K790" i="1"/>
  <c r="L790" i="1"/>
  <c r="M789" i="1" s="1"/>
  <c r="K791" i="1"/>
  <c r="L791" i="1"/>
  <c r="M790" i="1" s="1"/>
  <c r="M791" i="1"/>
  <c r="K792" i="1"/>
  <c r="L792" i="1"/>
  <c r="M792" i="1"/>
  <c r="K793" i="1"/>
  <c r="L793" i="1"/>
  <c r="M793" i="1"/>
  <c r="K794" i="1"/>
  <c r="L794" i="1"/>
  <c r="K795" i="1"/>
  <c r="L795" i="1"/>
  <c r="M794" i="1" s="1"/>
  <c r="K796" i="1"/>
  <c r="L796" i="1"/>
  <c r="M795" i="1" s="1"/>
  <c r="M796" i="1"/>
  <c r="K797" i="1"/>
  <c r="L797" i="1"/>
  <c r="K798" i="1"/>
  <c r="L798" i="1"/>
  <c r="M797" i="1" s="1"/>
  <c r="K799" i="1"/>
  <c r="L799" i="1"/>
  <c r="M798" i="1" s="1"/>
  <c r="M799" i="1"/>
  <c r="K800" i="1"/>
  <c r="L800" i="1"/>
  <c r="M800" i="1"/>
  <c r="K801" i="1"/>
  <c r="L801" i="1"/>
  <c r="M801" i="1"/>
  <c r="K802" i="1"/>
  <c r="L802" i="1"/>
  <c r="K803" i="1"/>
  <c r="L803" i="1"/>
  <c r="M802" i="1" s="1"/>
  <c r="K804" i="1"/>
  <c r="L804" i="1"/>
  <c r="M803" i="1" s="1"/>
  <c r="M804" i="1"/>
  <c r="K805" i="1"/>
  <c r="L805" i="1"/>
  <c r="K806" i="1"/>
  <c r="L806" i="1"/>
  <c r="M805" i="1" s="1"/>
  <c r="K807" i="1"/>
  <c r="L807" i="1"/>
  <c r="M806" i="1" s="1"/>
  <c r="M807" i="1"/>
  <c r="K808" i="1"/>
  <c r="L808" i="1"/>
  <c r="M808" i="1"/>
  <c r="K809" i="1"/>
  <c r="L809" i="1"/>
  <c r="M809" i="1"/>
  <c r="K810" i="1"/>
  <c r="L810" i="1"/>
  <c r="K811" i="1"/>
  <c r="L811" i="1"/>
  <c r="M810" i="1" s="1"/>
  <c r="K812" i="1"/>
  <c r="L812" i="1"/>
  <c r="M811" i="1" s="1"/>
  <c r="M812" i="1"/>
  <c r="K813" i="1"/>
  <c r="L813" i="1"/>
  <c r="K814" i="1"/>
  <c r="L814" i="1"/>
  <c r="M813" i="1" s="1"/>
  <c r="K815" i="1"/>
  <c r="L815" i="1"/>
  <c r="M814" i="1" s="1"/>
  <c r="M815" i="1"/>
  <c r="K816" i="1"/>
  <c r="L816" i="1"/>
  <c r="M816" i="1"/>
  <c r="K817" i="1"/>
  <c r="L817" i="1"/>
  <c r="M817" i="1"/>
  <c r="K818" i="1"/>
  <c r="L818" i="1"/>
  <c r="K819" i="1"/>
  <c r="L819" i="1"/>
  <c r="M818" i="1" s="1"/>
  <c r="K820" i="1"/>
  <c r="L820" i="1"/>
  <c r="M819" i="1" s="1"/>
  <c r="M820" i="1"/>
  <c r="K821" i="1"/>
  <c r="L821" i="1"/>
  <c r="K822" i="1"/>
  <c r="L822" i="1"/>
  <c r="M821" i="1" s="1"/>
  <c r="K823" i="1"/>
  <c r="L823" i="1"/>
  <c r="M822" i="1" s="1"/>
  <c r="M823" i="1"/>
  <c r="K824" i="1"/>
  <c r="L824" i="1"/>
  <c r="M824" i="1"/>
  <c r="K825" i="1"/>
  <c r="L825" i="1"/>
  <c r="M825" i="1"/>
  <c r="K826" i="1"/>
  <c r="L826" i="1"/>
  <c r="K827" i="1"/>
  <c r="L827" i="1"/>
  <c r="M826" i="1" s="1"/>
  <c r="K828" i="1"/>
  <c r="L828" i="1"/>
  <c r="M827" i="1" s="1"/>
  <c r="M828" i="1"/>
  <c r="K829" i="1"/>
  <c r="L829" i="1"/>
  <c r="K830" i="1"/>
  <c r="L830" i="1"/>
  <c r="M829" i="1" s="1"/>
  <c r="K831" i="1"/>
  <c r="L831" i="1"/>
  <c r="M830" i="1" s="1"/>
  <c r="M831" i="1"/>
  <c r="K832" i="1"/>
  <c r="L832" i="1"/>
  <c r="M832" i="1"/>
  <c r="K833" i="1"/>
  <c r="L833" i="1"/>
  <c r="M833" i="1"/>
  <c r="K834" i="1"/>
  <c r="L834" i="1"/>
  <c r="K835" i="1"/>
  <c r="L835" i="1"/>
  <c r="M834" i="1" s="1"/>
  <c r="K836" i="1"/>
  <c r="L836" i="1"/>
  <c r="M835" i="1" s="1"/>
  <c r="M836" i="1"/>
  <c r="K837" i="1"/>
  <c r="L837" i="1"/>
  <c r="K838" i="1"/>
  <c r="L838" i="1"/>
  <c r="M837" i="1" s="1"/>
  <c r="K839" i="1"/>
  <c r="L839" i="1"/>
  <c r="M838" i="1" s="1"/>
  <c r="M839" i="1"/>
  <c r="K840" i="1"/>
  <c r="L840" i="1"/>
  <c r="M840" i="1"/>
  <c r="K841" i="1"/>
  <c r="L841" i="1"/>
  <c r="M841" i="1"/>
  <c r="K842" i="1"/>
  <c r="L842" i="1"/>
  <c r="K843" i="1"/>
  <c r="L843" i="1"/>
  <c r="M842" i="1" s="1"/>
  <c r="K844" i="1"/>
  <c r="L844" i="1"/>
  <c r="M843" i="1" s="1"/>
  <c r="M844" i="1"/>
  <c r="K845" i="1"/>
  <c r="L845" i="1"/>
  <c r="K846" i="1"/>
  <c r="L846" i="1"/>
  <c r="M845" i="1" s="1"/>
  <c r="K847" i="1"/>
  <c r="L847" i="1"/>
  <c r="M846" i="1" s="1"/>
  <c r="M847" i="1"/>
  <c r="K848" i="1"/>
  <c r="L848" i="1"/>
  <c r="M848" i="1"/>
  <c r="K849" i="1"/>
  <c r="L849" i="1"/>
  <c r="M849" i="1"/>
  <c r="K850" i="1"/>
  <c r="L850" i="1"/>
  <c r="K851" i="1"/>
  <c r="L851" i="1"/>
  <c r="M850" i="1" s="1"/>
  <c r="K852" i="1"/>
  <c r="L852" i="1"/>
  <c r="M851" i="1" s="1"/>
  <c r="M852" i="1"/>
  <c r="K853" i="1"/>
  <c r="L853" i="1"/>
  <c r="K854" i="1"/>
  <c r="L854" i="1"/>
  <c r="M853" i="1" s="1"/>
  <c r="K855" i="1"/>
  <c r="L855" i="1"/>
  <c r="M854" i="1" s="1"/>
  <c r="M855" i="1"/>
  <c r="K856" i="1"/>
  <c r="L856" i="1"/>
  <c r="M856" i="1"/>
  <c r="K857" i="1"/>
  <c r="L857" i="1"/>
  <c r="M857" i="1"/>
  <c r="K858" i="1"/>
  <c r="L858" i="1"/>
  <c r="K859" i="1"/>
  <c r="L859" i="1"/>
  <c r="M858" i="1" s="1"/>
  <c r="K860" i="1"/>
  <c r="L860" i="1"/>
  <c r="M859" i="1" s="1"/>
  <c r="M860" i="1"/>
  <c r="K861" i="1"/>
  <c r="L861" i="1"/>
  <c r="K862" i="1"/>
  <c r="L862" i="1"/>
  <c r="M861" i="1" s="1"/>
  <c r="K863" i="1"/>
  <c r="L863" i="1"/>
  <c r="M862" i="1" s="1"/>
  <c r="M863" i="1"/>
  <c r="K864" i="1"/>
  <c r="L864" i="1"/>
  <c r="M864" i="1"/>
  <c r="K865" i="1"/>
  <c r="L865" i="1"/>
  <c r="M865" i="1"/>
  <c r="K866" i="1"/>
  <c r="L866" i="1"/>
  <c r="K867" i="1"/>
  <c r="L867" i="1"/>
  <c r="M866" i="1" s="1"/>
  <c r="K868" i="1"/>
  <c r="L868" i="1"/>
  <c r="M867" i="1" s="1"/>
  <c r="M868" i="1"/>
  <c r="K869" i="1"/>
  <c r="L869" i="1"/>
  <c r="K870" i="1"/>
  <c r="L870" i="1"/>
  <c r="M869" i="1" s="1"/>
  <c r="K871" i="1"/>
  <c r="L871" i="1"/>
  <c r="M870" i="1" s="1"/>
  <c r="M871" i="1"/>
  <c r="K872" i="1"/>
  <c r="L872" i="1"/>
  <c r="M872" i="1"/>
  <c r="K873" i="1"/>
  <c r="L873" i="1"/>
  <c r="M873" i="1"/>
  <c r="K874" i="1"/>
  <c r="L874" i="1"/>
  <c r="K875" i="1"/>
  <c r="L875" i="1"/>
  <c r="M874" i="1" s="1"/>
  <c r="K876" i="1"/>
  <c r="L876" i="1"/>
  <c r="M875" i="1" s="1"/>
  <c r="M876" i="1"/>
  <c r="K877" i="1"/>
  <c r="L877" i="1"/>
  <c r="K878" i="1"/>
  <c r="L878" i="1"/>
  <c r="M877" i="1" s="1"/>
  <c r="K879" i="1"/>
  <c r="L879" i="1"/>
  <c r="M878" i="1" s="1"/>
  <c r="M879" i="1"/>
  <c r="K880" i="1"/>
  <c r="L880" i="1"/>
  <c r="M880" i="1"/>
  <c r="K881" i="1"/>
  <c r="L881" i="1"/>
  <c r="M881" i="1"/>
  <c r="K882" i="1"/>
  <c r="L882" i="1"/>
  <c r="K883" i="1"/>
  <c r="L883" i="1"/>
  <c r="M882" i="1" s="1"/>
  <c r="K884" i="1"/>
  <c r="L884" i="1"/>
  <c r="M883" i="1" s="1"/>
  <c r="M884" i="1"/>
  <c r="K885" i="1"/>
  <c r="L885" i="1"/>
  <c r="K886" i="1"/>
  <c r="L886" i="1"/>
  <c r="M885" i="1" s="1"/>
  <c r="K887" i="1"/>
  <c r="L887" i="1"/>
  <c r="M886" i="1" s="1"/>
  <c r="M887" i="1"/>
  <c r="K888" i="1"/>
  <c r="L888" i="1"/>
  <c r="M888" i="1"/>
  <c r="K889" i="1"/>
  <c r="L889" i="1"/>
  <c r="M889" i="1"/>
  <c r="K890" i="1"/>
  <c r="L890" i="1"/>
  <c r="K891" i="1"/>
  <c r="L891" i="1"/>
  <c r="M890" i="1" s="1"/>
  <c r="K892" i="1"/>
  <c r="L892" i="1"/>
  <c r="M891" i="1" s="1"/>
  <c r="M892" i="1"/>
  <c r="K893" i="1"/>
  <c r="L893" i="1"/>
  <c r="K894" i="1"/>
  <c r="L894" i="1"/>
  <c r="M893" i="1" s="1"/>
  <c r="K895" i="1"/>
  <c r="L895" i="1"/>
  <c r="M894" i="1" s="1"/>
  <c r="M895" i="1"/>
  <c r="K896" i="1"/>
  <c r="L896" i="1"/>
  <c r="M896" i="1"/>
  <c r="K897" i="1"/>
  <c r="L897" i="1"/>
  <c r="M897" i="1"/>
  <c r="K898" i="1"/>
  <c r="L898" i="1"/>
  <c r="K899" i="1"/>
  <c r="L899" i="1"/>
  <c r="M898" i="1" s="1"/>
  <c r="K900" i="1"/>
  <c r="L900" i="1"/>
  <c r="M899" i="1" s="1"/>
  <c r="M900" i="1"/>
  <c r="K901" i="1"/>
  <c r="L901" i="1"/>
  <c r="K902" i="1"/>
  <c r="L902" i="1"/>
  <c r="M901" i="1" s="1"/>
  <c r="K903" i="1"/>
  <c r="L903" i="1"/>
  <c r="M902" i="1" s="1"/>
  <c r="M903" i="1"/>
  <c r="K904" i="1"/>
  <c r="L904" i="1"/>
  <c r="M904" i="1"/>
  <c r="K905" i="1"/>
  <c r="L905" i="1"/>
  <c r="M905" i="1"/>
  <c r="K906" i="1"/>
  <c r="L906" i="1"/>
  <c r="K907" i="1"/>
  <c r="L907" i="1"/>
  <c r="M906" i="1" s="1"/>
  <c r="K908" i="1"/>
  <c r="L908" i="1"/>
  <c r="M907" i="1" s="1"/>
  <c r="M908" i="1"/>
  <c r="K909" i="1"/>
  <c r="L909" i="1"/>
  <c r="K910" i="1"/>
  <c r="L910" i="1"/>
  <c r="M909" i="1" s="1"/>
  <c r="K911" i="1"/>
  <c r="L911" i="1"/>
  <c r="M910" i="1" s="1"/>
  <c r="M911" i="1"/>
  <c r="K912" i="1"/>
  <c r="L912" i="1"/>
  <c r="M912" i="1"/>
  <c r="K913" i="1"/>
  <c r="L913" i="1"/>
  <c r="M913" i="1"/>
  <c r="K914" i="1"/>
  <c r="L914" i="1"/>
  <c r="K915" i="1"/>
  <c r="L915" i="1"/>
  <c r="M914" i="1" s="1"/>
  <c r="K916" i="1"/>
  <c r="L916" i="1"/>
  <c r="M915" i="1" s="1"/>
  <c r="M916" i="1"/>
  <c r="K917" i="1"/>
  <c r="L917" i="1"/>
  <c r="K918" i="1"/>
  <c r="L918" i="1"/>
  <c r="M917" i="1" s="1"/>
  <c r="K919" i="1"/>
  <c r="L919" i="1"/>
  <c r="M918" i="1" s="1"/>
  <c r="M919" i="1"/>
  <c r="K920" i="1"/>
  <c r="L920" i="1"/>
  <c r="M920" i="1"/>
  <c r="K921" i="1"/>
  <c r="L921" i="1"/>
  <c r="M921" i="1"/>
  <c r="K922" i="1"/>
  <c r="L922" i="1"/>
  <c r="K923" i="1"/>
  <c r="L923" i="1"/>
  <c r="M922" i="1" s="1"/>
  <c r="K924" i="1"/>
  <c r="L924" i="1"/>
  <c r="M923" i="1" s="1"/>
  <c r="M924" i="1"/>
  <c r="K925" i="1"/>
  <c r="L925" i="1"/>
  <c r="K926" i="1"/>
  <c r="L926" i="1"/>
  <c r="M925" i="1" s="1"/>
  <c r="K927" i="1"/>
  <c r="L927" i="1"/>
  <c r="M926" i="1" s="1"/>
  <c r="M927" i="1"/>
  <c r="K928" i="1"/>
  <c r="L928" i="1"/>
  <c r="M928" i="1"/>
  <c r="K929" i="1"/>
  <c r="L929" i="1"/>
  <c r="M929" i="1"/>
  <c r="K930" i="1"/>
  <c r="L930" i="1"/>
  <c r="K931" i="1"/>
  <c r="L931" i="1"/>
  <c r="M930" i="1" s="1"/>
  <c r="K932" i="1"/>
  <c r="L932" i="1"/>
  <c r="M931" i="1" s="1"/>
  <c r="M932" i="1"/>
  <c r="K933" i="1"/>
  <c r="L933" i="1"/>
  <c r="K934" i="1"/>
  <c r="L934" i="1"/>
  <c r="M933" i="1" s="1"/>
  <c r="K935" i="1"/>
  <c r="L935" i="1"/>
  <c r="M934" i="1" s="1"/>
  <c r="M935" i="1"/>
  <c r="K936" i="1"/>
  <c r="L936" i="1"/>
  <c r="M936" i="1"/>
  <c r="K937" i="1"/>
  <c r="L937" i="1"/>
  <c r="M937" i="1"/>
  <c r="K938" i="1"/>
  <c r="L938" i="1"/>
  <c r="K939" i="1"/>
  <c r="L939" i="1"/>
  <c r="M938" i="1" s="1"/>
  <c r="K940" i="1"/>
  <c r="L940" i="1"/>
  <c r="M939" i="1" s="1"/>
  <c r="M940" i="1"/>
  <c r="K941" i="1"/>
  <c r="L941" i="1"/>
  <c r="K942" i="1"/>
  <c r="L942" i="1"/>
  <c r="M941" i="1" s="1"/>
  <c r="K943" i="1"/>
  <c r="L943" i="1"/>
  <c r="M942" i="1" s="1"/>
  <c r="M943" i="1"/>
  <c r="K944" i="1"/>
  <c r="L944" i="1"/>
  <c r="M944" i="1"/>
  <c r="K945" i="1"/>
  <c r="L945" i="1"/>
  <c r="M945" i="1"/>
  <c r="K946" i="1"/>
  <c r="L946" i="1"/>
  <c r="K947" i="1"/>
  <c r="L947" i="1"/>
  <c r="M946" i="1" s="1"/>
  <c r="K948" i="1"/>
  <c r="L948" i="1"/>
  <c r="M947" i="1" s="1"/>
  <c r="M948" i="1"/>
  <c r="K949" i="1"/>
  <c r="L949" i="1"/>
  <c r="K950" i="1"/>
  <c r="L950" i="1"/>
  <c r="M949" i="1" s="1"/>
  <c r="K951" i="1"/>
  <c r="L951" i="1"/>
  <c r="M950" i="1" s="1"/>
  <c r="M951" i="1"/>
  <c r="K952" i="1"/>
  <c r="L952" i="1"/>
  <c r="M952" i="1"/>
  <c r="K953" i="1"/>
  <c r="L953" i="1"/>
  <c r="M953" i="1"/>
  <c r="K954" i="1"/>
  <c r="L954" i="1"/>
  <c r="K955" i="1"/>
  <c r="L955" i="1"/>
  <c r="M954" i="1" s="1"/>
  <c r="K956" i="1"/>
  <c r="L956" i="1"/>
  <c r="M955" i="1" s="1"/>
  <c r="M956" i="1"/>
  <c r="K957" i="1"/>
  <c r="L957" i="1"/>
  <c r="K958" i="1"/>
  <c r="L958" i="1"/>
  <c r="M957" i="1" s="1"/>
  <c r="K959" i="1"/>
  <c r="L959" i="1"/>
  <c r="M958" i="1" s="1"/>
  <c r="M959" i="1"/>
  <c r="K960" i="1"/>
  <c r="L960" i="1"/>
  <c r="M960" i="1"/>
  <c r="K961" i="1"/>
  <c r="L961" i="1"/>
  <c r="M961" i="1"/>
  <c r="K962" i="1"/>
  <c r="L962" i="1"/>
  <c r="K963" i="1"/>
  <c r="L963" i="1"/>
  <c r="M962" i="1" s="1"/>
  <c r="K964" i="1"/>
  <c r="L964" i="1"/>
  <c r="M963" i="1" s="1"/>
  <c r="M964" i="1"/>
  <c r="K965" i="1"/>
  <c r="L965" i="1"/>
  <c r="K966" i="1"/>
  <c r="L966" i="1"/>
  <c r="M965" i="1" s="1"/>
  <c r="K967" i="1"/>
  <c r="L967" i="1"/>
  <c r="M966" i="1" s="1"/>
  <c r="M967" i="1"/>
  <c r="K968" i="1"/>
  <c r="L968" i="1"/>
  <c r="M968" i="1"/>
  <c r="K969" i="1"/>
  <c r="L969" i="1"/>
  <c r="M969" i="1"/>
  <c r="K970" i="1"/>
  <c r="L970" i="1"/>
  <c r="K971" i="1"/>
  <c r="L971" i="1"/>
  <c r="M970" i="1" s="1"/>
  <c r="K972" i="1"/>
  <c r="L972" i="1"/>
  <c r="M971" i="1" s="1"/>
  <c r="M972" i="1"/>
  <c r="K973" i="1"/>
  <c r="L973" i="1"/>
  <c r="K974" i="1"/>
  <c r="L974" i="1"/>
  <c r="M973" i="1" s="1"/>
  <c r="K975" i="1"/>
  <c r="L975" i="1"/>
  <c r="M974" i="1" s="1"/>
  <c r="M975" i="1"/>
  <c r="K976" i="1"/>
  <c r="L976" i="1"/>
  <c r="M976" i="1"/>
  <c r="K977" i="1"/>
  <c r="L977" i="1"/>
  <c r="M977" i="1"/>
  <c r="K978" i="1"/>
  <c r="L978" i="1"/>
  <c r="K979" i="1"/>
  <c r="L979" i="1"/>
  <c r="M978" i="1" s="1"/>
  <c r="K980" i="1"/>
  <c r="L980" i="1"/>
  <c r="M979" i="1" s="1"/>
  <c r="M980" i="1"/>
  <c r="K981" i="1"/>
  <c r="L981" i="1"/>
  <c r="K982" i="1"/>
  <c r="L982" i="1"/>
  <c r="M981" i="1" s="1"/>
  <c r="K983" i="1"/>
  <c r="L983" i="1"/>
  <c r="M982" i="1" s="1"/>
  <c r="M983" i="1"/>
  <c r="K984" i="1"/>
  <c r="L984" i="1"/>
  <c r="M984" i="1"/>
  <c r="K985" i="1"/>
  <c r="L985" i="1"/>
  <c r="M985" i="1"/>
  <c r="K986" i="1"/>
  <c r="L986" i="1"/>
  <c r="K987" i="1"/>
  <c r="L987" i="1"/>
  <c r="M986" i="1" s="1"/>
  <c r="K988" i="1"/>
  <c r="L988" i="1"/>
  <c r="M987" i="1" s="1"/>
  <c r="M988" i="1"/>
  <c r="K989" i="1"/>
  <c r="L989" i="1"/>
  <c r="K990" i="1"/>
  <c r="L990" i="1"/>
  <c r="M989" i="1" s="1"/>
  <c r="K991" i="1"/>
  <c r="L991" i="1"/>
  <c r="M990" i="1" s="1"/>
  <c r="M991" i="1"/>
  <c r="K992" i="1"/>
  <c r="L992" i="1"/>
  <c r="M992" i="1"/>
  <c r="K993" i="1"/>
  <c r="L993" i="1"/>
  <c r="M993" i="1"/>
  <c r="K994" i="1"/>
  <c r="L994" i="1"/>
  <c r="K995" i="1"/>
  <c r="L995" i="1"/>
  <c r="M994" i="1" s="1"/>
  <c r="K996" i="1"/>
  <c r="L996" i="1"/>
  <c r="M995" i="1" s="1"/>
  <c r="M996" i="1"/>
  <c r="K997" i="1"/>
  <c r="L997" i="1"/>
  <c r="K998" i="1"/>
  <c r="L998" i="1"/>
  <c r="M997" i="1" s="1"/>
  <c r="K999" i="1"/>
  <c r="L999" i="1"/>
  <c r="M998" i="1" s="1"/>
  <c r="M999" i="1"/>
  <c r="K1000" i="1"/>
  <c r="L1000" i="1"/>
  <c r="M1000" i="1"/>
  <c r="L4" i="1"/>
  <c r="K4" i="1"/>
  <c r="M4" i="1" l="1"/>
  <c r="N57" i="1"/>
  <c r="N65" i="1"/>
  <c r="N81" i="1"/>
  <c r="N86" i="1"/>
  <c r="N89" i="1"/>
  <c r="N97" i="1"/>
  <c r="N102" i="1"/>
  <c r="N105" i="1"/>
  <c r="N118" i="1"/>
  <c r="N121" i="1"/>
  <c r="N139" i="1"/>
  <c r="N203" i="1"/>
  <c r="N227" i="1"/>
  <c r="N235" i="1"/>
  <c r="N747" i="1"/>
  <c r="N755" i="1"/>
  <c r="N867" i="1"/>
  <c r="N875" i="1"/>
  <c r="N883" i="1"/>
  <c r="N891" i="1"/>
  <c r="N899" i="1"/>
  <c r="N907" i="1"/>
  <c r="N923" i="1"/>
  <c r="N931" i="1"/>
  <c r="N171" i="1"/>
  <c r="N14" i="1"/>
  <c r="N16" i="1"/>
  <c r="N24" i="1"/>
  <c r="N32" i="1"/>
  <c r="N40" i="1"/>
  <c r="N54" i="1"/>
  <c r="N56" i="1"/>
  <c r="N64" i="1"/>
  <c r="N72" i="1"/>
  <c r="N73" i="1"/>
  <c r="N80" i="1"/>
  <c r="N88" i="1"/>
  <c r="N96" i="1"/>
  <c r="N104" i="1"/>
  <c r="N112" i="1"/>
  <c r="N120" i="1"/>
  <c r="N128" i="1"/>
  <c r="N134" i="1"/>
  <c r="N136" i="1"/>
  <c r="N138" i="1"/>
  <c r="N144" i="1"/>
  <c r="N146" i="1"/>
  <c r="N150" i="1"/>
  <c r="N152" i="1"/>
  <c r="N160" i="1"/>
  <c r="N162" i="1"/>
  <c r="N166" i="1"/>
  <c r="N168" i="1"/>
  <c r="N170" i="1"/>
  <c r="N176" i="1"/>
  <c r="N178" i="1"/>
  <c r="N182" i="1"/>
  <c r="N184" i="1"/>
  <c r="N192" i="1"/>
  <c r="N194" i="1"/>
  <c r="N198" i="1"/>
  <c r="N200" i="1"/>
  <c r="N202" i="1"/>
  <c r="N216" i="1"/>
  <c r="N218" i="1"/>
  <c r="N222" i="1"/>
  <c r="N224" i="1"/>
  <c r="N226" i="1"/>
  <c r="N232" i="1"/>
  <c r="N238" i="1"/>
  <c r="N240" i="1"/>
  <c r="N242" i="1"/>
  <c r="N248" i="1"/>
  <c r="N250" i="1"/>
  <c r="N254" i="1"/>
  <c r="N256" i="1"/>
  <c r="N262" i="1"/>
  <c r="N264" i="1"/>
  <c r="N266" i="1"/>
  <c r="N270" i="1"/>
  <c r="N274" i="1"/>
  <c r="N278" i="1"/>
  <c r="N280" i="1"/>
  <c r="N286" i="1"/>
  <c r="N290" i="1"/>
  <c r="N294" i="1"/>
  <c r="N298" i="1"/>
  <c r="N302" i="1"/>
  <c r="N310" i="1"/>
  <c r="N314" i="1"/>
  <c r="N322" i="1"/>
  <c r="N338" i="1"/>
  <c r="N342" i="1"/>
  <c r="N343" i="1"/>
  <c r="N345" i="1"/>
  <c r="N352" i="1"/>
  <c r="N353" i="1"/>
  <c r="N359" i="1"/>
  <c r="N362" i="1"/>
  <c r="N367" i="1"/>
  <c r="N369" i="1"/>
  <c r="N370" i="1"/>
  <c r="N375" i="1"/>
  <c r="N377" i="1"/>
  <c r="N378" i="1"/>
  <c r="N385" i="1"/>
  <c r="N393" i="1"/>
  <c r="N394" i="1"/>
  <c r="N399" i="1"/>
  <c r="N401" i="1"/>
  <c r="N402" i="1"/>
  <c r="N409" i="1"/>
  <c r="N410" i="1"/>
  <c r="N417" i="1"/>
  <c r="N425" i="1"/>
  <c r="N426" i="1"/>
  <c r="N431" i="1"/>
  <c r="N433" i="1"/>
  <c r="N434" i="1"/>
  <c r="N439" i="1"/>
  <c r="N441" i="1"/>
  <c r="N442" i="1"/>
  <c r="N449" i="1"/>
  <c r="N450" i="1"/>
  <c r="N457" i="1"/>
  <c r="N463" i="1"/>
  <c r="N465" i="1"/>
  <c r="N466" i="1"/>
  <c r="N473" i="1"/>
  <c r="N474" i="1"/>
  <c r="N481" i="1"/>
  <c r="N482" i="1"/>
  <c r="N489" i="1"/>
  <c r="N495" i="1"/>
  <c r="N497" i="1"/>
  <c r="N498" i="1"/>
  <c r="N503" i="1"/>
  <c r="N505" i="1"/>
  <c r="N513" i="1"/>
  <c r="N521" i="1"/>
  <c r="N529" i="1"/>
  <c r="N537" i="1"/>
  <c r="N543" i="1"/>
  <c r="N545" i="1"/>
  <c r="N553" i="1"/>
  <c r="N561" i="1"/>
  <c r="N565" i="1"/>
  <c r="N569" i="1"/>
  <c r="N577" i="1"/>
  <c r="N578" i="1"/>
  <c r="N582" i="1"/>
  <c r="N586" i="1"/>
  <c r="N590" i="1"/>
  <c r="N593" i="1"/>
  <c r="N598" i="1"/>
  <c r="N599" i="1"/>
  <c r="N602" i="1"/>
  <c r="N607" i="1"/>
  <c r="N608" i="1"/>
  <c r="N610" i="1"/>
  <c r="N615" i="1"/>
  <c r="N618" i="1"/>
  <c r="N623" i="1"/>
  <c r="N624" i="1"/>
  <c r="N626" i="1"/>
  <c r="N631" i="1"/>
  <c r="N632" i="1"/>
  <c r="N634" i="1"/>
  <c r="N639" i="1"/>
  <c r="N640" i="1"/>
  <c r="N642" i="1"/>
  <c r="N647" i="1"/>
  <c r="N648" i="1"/>
  <c r="N650" i="1"/>
  <c r="N655" i="1"/>
  <c r="N656" i="1"/>
  <c r="N658" i="1"/>
  <c r="N663" i="1"/>
  <c r="N664" i="1"/>
  <c r="N666" i="1"/>
  <c r="N671" i="1"/>
  <c r="N672" i="1"/>
  <c r="N679" i="1"/>
  <c r="N680" i="1"/>
  <c r="N682" i="1"/>
  <c r="N687" i="1"/>
  <c r="N688" i="1"/>
  <c r="N690" i="1"/>
  <c r="N693" i="1"/>
  <c r="N695" i="1"/>
  <c r="N696" i="1"/>
  <c r="N703" i="1"/>
  <c r="N704" i="1"/>
  <c r="N706" i="1"/>
  <c r="N711" i="1"/>
  <c r="N712" i="1"/>
  <c r="N714" i="1"/>
  <c r="N719" i="1"/>
  <c r="N720" i="1"/>
  <c r="N722" i="1"/>
  <c r="N727" i="1"/>
  <c r="N728" i="1"/>
  <c r="N730" i="1"/>
  <c r="N735" i="1"/>
  <c r="N736" i="1"/>
  <c r="N738" i="1"/>
  <c r="N741" i="1"/>
  <c r="N743" i="1"/>
  <c r="N744" i="1"/>
  <c r="N751" i="1"/>
  <c r="N752" i="1"/>
  <c r="N754" i="1"/>
  <c r="N759" i="1"/>
  <c r="N760" i="1"/>
  <c r="N762" i="1"/>
  <c r="N767" i="1"/>
  <c r="N768" i="1"/>
  <c r="N775" i="1"/>
  <c r="N776" i="1"/>
  <c r="N778" i="1"/>
  <c r="N783" i="1"/>
  <c r="N784" i="1"/>
  <c r="N786" i="1"/>
  <c r="N791" i="1"/>
  <c r="N792" i="1"/>
  <c r="N794" i="1"/>
  <c r="N799" i="1"/>
  <c r="N800" i="1"/>
  <c r="N807" i="1"/>
  <c r="N808" i="1"/>
  <c r="N810" i="1"/>
  <c r="N815" i="1"/>
  <c r="N816" i="1"/>
  <c r="N821" i="1"/>
  <c r="N823" i="1"/>
  <c r="N824" i="1"/>
  <c r="N831" i="1"/>
  <c r="N832" i="1"/>
  <c r="N839" i="1"/>
  <c r="N840" i="1"/>
  <c r="N847" i="1"/>
  <c r="N848" i="1"/>
  <c r="N855" i="1"/>
  <c r="N863" i="1"/>
  <c r="N871" i="1"/>
  <c r="N879" i="1"/>
  <c r="N887" i="1"/>
  <c r="N888" i="1"/>
  <c r="N895" i="1"/>
  <c r="N896" i="1"/>
  <c r="N903" i="1"/>
  <c r="N904" i="1"/>
  <c r="N911" i="1"/>
  <c r="N912" i="1"/>
  <c r="N913" i="1"/>
  <c r="N928" i="1"/>
  <c r="N935" i="1"/>
  <c r="N937" i="1"/>
  <c r="N938" i="1"/>
  <c r="N943" i="1"/>
  <c r="N944" i="1"/>
  <c r="N945" i="1"/>
  <c r="N946" i="1"/>
  <c r="N951" i="1"/>
  <c r="N952" i="1"/>
  <c r="N959" i="1"/>
  <c r="N960" i="1"/>
  <c r="N962" i="1"/>
  <c r="N967" i="1"/>
  <c r="N968" i="1"/>
  <c r="N970" i="1"/>
  <c r="N975" i="1"/>
  <c r="N976" i="1"/>
  <c r="N978" i="1"/>
  <c r="N983" i="1"/>
  <c r="N984" i="1"/>
  <c r="N986" i="1"/>
  <c r="N990" i="1"/>
  <c r="N991" i="1"/>
  <c r="N992" i="1"/>
  <c r="N999" i="1"/>
  <c r="N49" i="1" l="1"/>
  <c r="N48" i="1"/>
  <c r="N954" i="1"/>
  <c r="N41" i="1"/>
  <c r="N26" i="1"/>
  <c r="N42" i="1"/>
  <c r="N114" i="1"/>
  <c r="N22" i="1"/>
  <c r="N123" i="1"/>
  <c r="N33" i="1"/>
  <c r="N25" i="1"/>
  <c r="N17" i="1"/>
  <c r="N70" i="1"/>
  <c r="N90" i="1"/>
  <c r="N74" i="1"/>
  <c r="N58" i="1"/>
  <c r="N82" i="1"/>
  <c r="N122" i="1"/>
  <c r="N50" i="1"/>
  <c r="N18" i="1"/>
  <c r="N106" i="1"/>
  <c r="N6" i="1"/>
  <c r="N9" i="1"/>
  <c r="N8" i="1"/>
  <c r="N10" i="1"/>
  <c r="N802" i="1"/>
  <c r="N770" i="1"/>
  <c r="N746" i="1"/>
  <c r="N698" i="1"/>
  <c r="N674" i="1"/>
  <c r="N594" i="1"/>
  <c r="N490" i="1"/>
  <c r="N458" i="1"/>
  <c r="N418" i="1"/>
  <c r="N386" i="1"/>
  <c r="N330" i="1"/>
  <c r="N306" i="1"/>
  <c r="N282" i="1"/>
  <c r="N258" i="1"/>
  <c r="N234" i="1"/>
  <c r="N210" i="1"/>
  <c r="N186" i="1"/>
  <c r="N154" i="1"/>
  <c r="N130" i="1"/>
  <c r="N98" i="1"/>
  <c r="N66" i="1"/>
  <c r="N34" i="1"/>
  <c r="N805" i="1"/>
  <c r="N725" i="1"/>
  <c r="N677" i="1"/>
  <c r="N653" i="1"/>
  <c r="N613" i="1"/>
  <c r="N589" i="1"/>
  <c r="N508" i="1"/>
  <c r="N500" i="1"/>
  <c r="N373" i="1"/>
  <c r="N348" i="1"/>
  <c r="N4" i="1"/>
  <c r="N389" i="1"/>
  <c r="N941" i="1"/>
  <c r="N773" i="1"/>
  <c r="N501" i="1"/>
  <c r="N597" i="1"/>
  <c r="N461" i="1"/>
  <c r="N525" i="1"/>
  <c r="N333" i="1"/>
  <c r="N940" i="1"/>
  <c r="N829" i="1"/>
  <c r="N629" i="1"/>
  <c r="N573" i="1"/>
  <c r="N469" i="1"/>
  <c r="N437" i="1"/>
  <c r="N429" i="1"/>
  <c r="N397" i="1"/>
  <c r="N349" i="1"/>
  <c r="N341" i="1"/>
  <c r="N187" i="1"/>
  <c r="N155" i="1"/>
  <c r="N549" i="1"/>
  <c r="N421" i="1"/>
  <c r="N917" i="1"/>
  <c r="N757" i="1"/>
  <c r="N627" i="1"/>
  <c r="N533" i="1"/>
  <c r="N509" i="1"/>
  <c r="N813" i="1"/>
  <c r="N661" i="1"/>
  <c r="N557" i="1"/>
  <c r="N477" i="1"/>
  <c r="N445" i="1"/>
  <c r="N405" i="1"/>
  <c r="N933" i="1"/>
  <c r="N965" i="1"/>
  <c r="N789" i="1"/>
  <c r="N581" i="1"/>
  <c r="N365" i="1"/>
  <c r="N717" i="1"/>
  <c r="N981" i="1"/>
  <c r="N541" i="1"/>
  <c r="N517" i="1"/>
  <c r="N485" i="1"/>
  <c r="N453" i="1"/>
  <c r="N413" i="1"/>
  <c r="N381" i="1"/>
  <c r="N997" i="1"/>
  <c r="N949" i="1"/>
  <c r="N493" i="1"/>
  <c r="N859" i="1"/>
  <c r="N851" i="1"/>
  <c r="N843" i="1"/>
  <c r="N835" i="1"/>
  <c r="N827" i="1"/>
  <c r="N819" i="1"/>
  <c r="N811" i="1"/>
  <c r="N803" i="1"/>
  <c r="N795" i="1"/>
  <c r="N787" i="1"/>
  <c r="N779" i="1"/>
  <c r="N771" i="1"/>
  <c r="N763" i="1"/>
  <c r="N739" i="1"/>
  <c r="N731" i="1"/>
  <c r="N723" i="1"/>
  <c r="N715" i="1"/>
  <c r="N707" i="1"/>
  <c r="N699" i="1"/>
  <c r="N691" i="1"/>
  <c r="N683" i="1"/>
  <c r="N675" i="1"/>
  <c r="N667" i="1"/>
  <c r="N659" i="1"/>
  <c r="N651" i="1"/>
  <c r="N643" i="1"/>
  <c r="N635" i="1"/>
  <c r="N619" i="1"/>
  <c r="N611" i="1"/>
  <c r="N603" i="1"/>
  <c r="N595" i="1"/>
  <c r="N532" i="1"/>
  <c r="N524" i="1"/>
  <c r="N516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N380" i="1"/>
  <c r="N372" i="1"/>
  <c r="N364" i="1"/>
  <c r="N355" i="1"/>
  <c r="N347" i="1"/>
  <c r="N331" i="1"/>
  <c r="N323" i="1"/>
  <c r="N315" i="1"/>
  <c r="N307" i="1"/>
  <c r="N299" i="1"/>
  <c r="N291" i="1"/>
  <c r="N283" i="1"/>
  <c r="N275" i="1"/>
  <c r="N267" i="1"/>
  <c r="N259" i="1"/>
  <c r="N251" i="1"/>
  <c r="N243" i="1"/>
  <c r="N219" i="1"/>
  <c r="N211" i="1"/>
  <c r="N107" i="1"/>
  <c r="N91" i="1"/>
  <c r="N75" i="1"/>
  <c r="N59" i="1"/>
  <c r="N43" i="1"/>
  <c r="N35" i="1"/>
  <c r="N19" i="1"/>
  <c r="N11" i="1"/>
  <c r="N932" i="1"/>
  <c r="N924" i="1"/>
  <c r="N596" i="1"/>
  <c r="N332" i="1"/>
  <c r="N324" i="1"/>
  <c r="N892" i="1"/>
  <c r="N340" i="1"/>
  <c r="N908" i="1"/>
  <c r="N356" i="1"/>
  <c r="N988" i="1"/>
  <c r="N920" i="1"/>
  <c r="N973" i="1"/>
  <c r="N977" i="1"/>
  <c r="N961" i="1"/>
  <c r="N994" i="1"/>
  <c r="N957" i="1"/>
  <c r="N996" i="1"/>
  <c r="N985" i="1"/>
  <c r="N980" i="1"/>
  <c r="N969" i="1"/>
  <c r="N953" i="1"/>
  <c r="N906" i="1"/>
  <c r="N905" i="1"/>
  <c r="N972" i="1"/>
  <c r="N964" i="1"/>
  <c r="N956" i="1"/>
  <c r="N948" i="1"/>
  <c r="N939" i="1"/>
  <c r="N922" i="1"/>
  <c r="N919" i="1"/>
  <c r="N916" i="1"/>
  <c r="N882" i="1"/>
  <c r="N881" i="1"/>
  <c r="N877" i="1"/>
  <c r="N876" i="1"/>
  <c r="N872" i="1"/>
  <c r="N826" i="1"/>
  <c r="N825" i="1"/>
  <c r="N797" i="1"/>
  <c r="N733" i="1"/>
  <c r="N669" i="1"/>
  <c r="N605" i="1"/>
  <c r="N600" i="1"/>
  <c r="N989" i="1"/>
  <c r="N998" i="1"/>
  <c r="N993" i="1"/>
  <c r="N982" i="1"/>
  <c r="N966" i="1"/>
  <c r="N958" i="1"/>
  <c r="N950" i="1"/>
  <c r="N942" i="1"/>
  <c r="N936" i="1"/>
  <c r="N930" i="1"/>
  <c r="N927" i="1"/>
  <c r="N909" i="1"/>
  <c r="N910" i="1"/>
  <c r="N885" i="1"/>
  <c r="N884" i="1"/>
  <c r="N880" i="1"/>
  <c r="N974" i="1"/>
  <c r="N995" i="1"/>
  <c r="N987" i="1"/>
  <c r="N979" i="1"/>
  <c r="N971" i="1"/>
  <c r="N963" i="1"/>
  <c r="N955" i="1"/>
  <c r="N947" i="1"/>
  <c r="N921" i="1"/>
  <c r="N915" i="1"/>
  <c r="N834" i="1"/>
  <c r="N833" i="1"/>
  <c r="N781" i="1"/>
  <c r="N837" i="1"/>
  <c r="N836" i="1"/>
  <c r="N842" i="1"/>
  <c r="N841" i="1"/>
  <c r="N929" i="1"/>
  <c r="N901" i="1"/>
  <c r="N902" i="1"/>
  <c r="N850" i="1"/>
  <c r="N849" i="1"/>
  <c r="N845" i="1"/>
  <c r="N844" i="1"/>
  <c r="N765" i="1"/>
  <c r="N701" i="1"/>
  <c r="N637" i="1"/>
  <c r="N926" i="1"/>
  <c r="N914" i="1"/>
  <c r="N898" i="1"/>
  <c r="N897" i="1"/>
  <c r="N858" i="1"/>
  <c r="N857" i="1"/>
  <c r="N853" i="1"/>
  <c r="N852" i="1"/>
  <c r="N893" i="1"/>
  <c r="N894" i="1"/>
  <c r="N866" i="1"/>
  <c r="N865" i="1"/>
  <c r="N861" i="1"/>
  <c r="N860" i="1"/>
  <c r="N856" i="1"/>
  <c r="N818" i="1"/>
  <c r="N817" i="1"/>
  <c r="N749" i="1"/>
  <c r="N685" i="1"/>
  <c r="N621" i="1"/>
  <c r="N616" i="1"/>
  <c r="N918" i="1"/>
  <c r="N934" i="1"/>
  <c r="N925" i="1"/>
  <c r="N900" i="1"/>
  <c r="N890" i="1"/>
  <c r="N889" i="1"/>
  <c r="N874" i="1"/>
  <c r="N873" i="1"/>
  <c r="N869" i="1"/>
  <c r="N868" i="1"/>
  <c r="N864" i="1"/>
  <c r="N709" i="1"/>
  <c r="N645" i="1"/>
  <c r="N576" i="1"/>
  <c r="N572" i="1"/>
  <c r="N571" i="1"/>
  <c r="N567" i="1"/>
  <c r="N568" i="1"/>
  <c r="N564" i="1"/>
  <c r="N563" i="1"/>
  <c r="N560" i="1"/>
  <c r="N556" i="1"/>
  <c r="N555" i="1"/>
  <c r="N551" i="1"/>
  <c r="N552" i="1"/>
  <c r="N548" i="1"/>
  <c r="N547" i="1"/>
  <c r="N540" i="1"/>
  <c r="N539" i="1"/>
  <c r="N471" i="1"/>
  <c r="N407" i="1"/>
  <c r="N575" i="1"/>
  <c r="N574" i="1"/>
  <c r="N570" i="1"/>
  <c r="N566" i="1"/>
  <c r="N562" i="1"/>
  <c r="N559" i="1"/>
  <c r="N558" i="1"/>
  <c r="N554" i="1"/>
  <c r="N550" i="1"/>
  <c r="N546" i="1"/>
  <c r="N538" i="1"/>
  <c r="N514" i="1"/>
  <c r="N828" i="1"/>
  <c r="N820" i="1"/>
  <c r="N812" i="1"/>
  <c r="N804" i="1"/>
  <c r="N796" i="1"/>
  <c r="N788" i="1"/>
  <c r="N780" i="1"/>
  <c r="N772" i="1"/>
  <c r="N764" i="1"/>
  <c r="N756" i="1"/>
  <c r="N748" i="1"/>
  <c r="N740" i="1"/>
  <c r="N732" i="1"/>
  <c r="N724" i="1"/>
  <c r="N716" i="1"/>
  <c r="N708" i="1"/>
  <c r="N700" i="1"/>
  <c r="N692" i="1"/>
  <c r="N684" i="1"/>
  <c r="N676" i="1"/>
  <c r="N668" i="1"/>
  <c r="N660" i="1"/>
  <c r="N652" i="1"/>
  <c r="N644" i="1"/>
  <c r="N636" i="1"/>
  <c r="N628" i="1"/>
  <c r="N620" i="1"/>
  <c r="N612" i="1"/>
  <c r="N604" i="1"/>
  <c r="N585" i="1"/>
  <c r="N519" i="1"/>
  <c r="N455" i="1"/>
  <c r="N391" i="1"/>
  <c r="N886" i="1"/>
  <c r="N878" i="1"/>
  <c r="N870" i="1"/>
  <c r="N862" i="1"/>
  <c r="N854" i="1"/>
  <c r="N846" i="1"/>
  <c r="N838" i="1"/>
  <c r="N830" i="1"/>
  <c r="N822" i="1"/>
  <c r="N814" i="1"/>
  <c r="N809" i="1"/>
  <c r="N806" i="1"/>
  <c r="N801" i="1"/>
  <c r="N798" i="1"/>
  <c r="N793" i="1"/>
  <c r="N790" i="1"/>
  <c r="N785" i="1"/>
  <c r="N782" i="1"/>
  <c r="N777" i="1"/>
  <c r="N774" i="1"/>
  <c r="N769" i="1"/>
  <c r="N766" i="1"/>
  <c r="N761" i="1"/>
  <c r="N758" i="1"/>
  <c r="N753" i="1"/>
  <c r="N750" i="1"/>
  <c r="N745" i="1"/>
  <c r="N742" i="1"/>
  <c r="N737" i="1"/>
  <c r="N734" i="1"/>
  <c r="N729" i="1"/>
  <c r="N726" i="1"/>
  <c r="N721" i="1"/>
  <c r="N718" i="1"/>
  <c r="N713" i="1"/>
  <c r="N710" i="1"/>
  <c r="N705" i="1"/>
  <c r="N702" i="1"/>
  <c r="N697" i="1"/>
  <c r="N694" i="1"/>
  <c r="N689" i="1"/>
  <c r="N686" i="1"/>
  <c r="N681" i="1"/>
  <c r="N678" i="1"/>
  <c r="N673" i="1"/>
  <c r="N670" i="1"/>
  <c r="N665" i="1"/>
  <c r="N662" i="1"/>
  <c r="N657" i="1"/>
  <c r="N654" i="1"/>
  <c r="N649" i="1"/>
  <c r="N646" i="1"/>
  <c r="N641" i="1"/>
  <c r="N638" i="1"/>
  <c r="N633" i="1"/>
  <c r="N630" i="1"/>
  <c r="N625" i="1"/>
  <c r="N622" i="1"/>
  <c r="N617" i="1"/>
  <c r="N614" i="1"/>
  <c r="N609" i="1"/>
  <c r="N606" i="1"/>
  <c r="N601" i="1"/>
  <c r="N479" i="1"/>
  <c r="N415" i="1"/>
  <c r="N591" i="1"/>
  <c r="N592" i="1"/>
  <c r="N522" i="1"/>
  <c r="N588" i="1"/>
  <c r="N587" i="1"/>
  <c r="N527" i="1"/>
  <c r="N583" i="1"/>
  <c r="N584" i="1"/>
  <c r="N506" i="1"/>
  <c r="N487" i="1"/>
  <c r="N423" i="1"/>
  <c r="N580" i="1"/>
  <c r="N579" i="1"/>
  <c r="N535" i="1"/>
  <c r="N530" i="1"/>
  <c r="N511" i="1"/>
  <c r="N447" i="1"/>
  <c r="N383" i="1"/>
  <c r="N361" i="1"/>
  <c r="N337" i="1"/>
  <c r="N285" i="1"/>
  <c r="N284" i="1"/>
  <c r="N197" i="1"/>
  <c r="N196" i="1"/>
  <c r="N181" i="1"/>
  <c r="N180" i="1"/>
  <c r="N165" i="1"/>
  <c r="N164" i="1"/>
  <c r="N149" i="1"/>
  <c r="N148" i="1"/>
  <c r="N133" i="1"/>
  <c r="N132" i="1"/>
  <c r="N117" i="1"/>
  <c r="N116" i="1"/>
  <c r="N101" i="1"/>
  <c r="N100" i="1"/>
  <c r="N85" i="1"/>
  <c r="N84" i="1"/>
  <c r="N69" i="1"/>
  <c r="N68" i="1"/>
  <c r="N53" i="1"/>
  <c r="N52" i="1"/>
  <c r="N27" i="1"/>
  <c r="N13" i="1"/>
  <c r="N12" i="1"/>
  <c r="N358" i="1"/>
  <c r="N293" i="1"/>
  <c r="N292" i="1"/>
  <c r="N261" i="1"/>
  <c r="N260" i="1"/>
  <c r="N245" i="1"/>
  <c r="N244" i="1"/>
  <c r="N229" i="1"/>
  <c r="N228" i="1"/>
  <c r="N213" i="1"/>
  <c r="N212" i="1"/>
  <c r="N201" i="1"/>
  <c r="N185" i="1"/>
  <c r="N169" i="1"/>
  <c r="N153" i="1"/>
  <c r="N137" i="1"/>
  <c r="N37" i="1"/>
  <c r="N36" i="1"/>
  <c r="N542" i="1"/>
  <c r="N534" i="1"/>
  <c r="N526" i="1"/>
  <c r="N518" i="1"/>
  <c r="N510" i="1"/>
  <c r="N502" i="1"/>
  <c r="N494" i="1"/>
  <c r="N486" i="1"/>
  <c r="N478" i="1"/>
  <c r="N470" i="1"/>
  <c r="N462" i="1"/>
  <c r="N454" i="1"/>
  <c r="N446" i="1"/>
  <c r="N438" i="1"/>
  <c r="N430" i="1"/>
  <c r="N422" i="1"/>
  <c r="N414" i="1"/>
  <c r="N406" i="1"/>
  <c r="N398" i="1"/>
  <c r="N390" i="1"/>
  <c r="N382" i="1"/>
  <c r="N374" i="1"/>
  <c r="N366" i="1"/>
  <c r="N360" i="1"/>
  <c r="N346" i="1"/>
  <c r="N339" i="1"/>
  <c r="N326" i="1"/>
  <c r="N318" i="1"/>
  <c r="N301" i="1"/>
  <c r="N300" i="1"/>
  <c r="N288" i="1"/>
  <c r="N206" i="1"/>
  <c r="N195" i="1"/>
  <c r="N190" i="1"/>
  <c r="N179" i="1"/>
  <c r="N174" i="1"/>
  <c r="N163" i="1"/>
  <c r="N158" i="1"/>
  <c r="N147" i="1"/>
  <c r="N142" i="1"/>
  <c r="N131" i="1"/>
  <c r="N126" i="1"/>
  <c r="N115" i="1"/>
  <c r="N110" i="1"/>
  <c r="N99" i="1"/>
  <c r="N94" i="1"/>
  <c r="N83" i="1"/>
  <c r="N78" i="1"/>
  <c r="N67" i="1"/>
  <c r="N62" i="1"/>
  <c r="N51" i="1"/>
  <c r="N46" i="1"/>
  <c r="N544" i="1"/>
  <c r="N536" i="1"/>
  <c r="N531" i="1"/>
  <c r="N528" i="1"/>
  <c r="N523" i="1"/>
  <c r="N520" i="1"/>
  <c r="N515" i="1"/>
  <c r="N512" i="1"/>
  <c r="N507" i="1"/>
  <c r="N504" i="1"/>
  <c r="N499" i="1"/>
  <c r="N496" i="1"/>
  <c r="N491" i="1"/>
  <c r="N488" i="1"/>
  <c r="N483" i="1"/>
  <c r="N480" i="1"/>
  <c r="N475" i="1"/>
  <c r="N472" i="1"/>
  <c r="N467" i="1"/>
  <c r="N464" i="1"/>
  <c r="N459" i="1"/>
  <c r="N456" i="1"/>
  <c r="N451" i="1"/>
  <c r="N448" i="1"/>
  <c r="N443" i="1"/>
  <c r="N440" i="1"/>
  <c r="N435" i="1"/>
  <c r="N432" i="1"/>
  <c r="N427" i="1"/>
  <c r="N424" i="1"/>
  <c r="N419" i="1"/>
  <c r="N416" i="1"/>
  <c r="N411" i="1"/>
  <c r="N408" i="1"/>
  <c r="N403" i="1"/>
  <c r="N400" i="1"/>
  <c r="N395" i="1"/>
  <c r="N392" i="1"/>
  <c r="N387" i="1"/>
  <c r="N384" i="1"/>
  <c r="N379" i="1"/>
  <c r="N376" i="1"/>
  <c r="N371" i="1"/>
  <c r="N368" i="1"/>
  <c r="N363" i="1"/>
  <c r="N357" i="1"/>
  <c r="N354" i="1"/>
  <c r="N351" i="1"/>
  <c r="N336" i="1"/>
  <c r="N335" i="1"/>
  <c r="N329" i="1"/>
  <c r="N325" i="1"/>
  <c r="N309" i="1"/>
  <c r="N308" i="1"/>
  <c r="N296" i="1"/>
  <c r="N295" i="1"/>
  <c r="N21" i="1"/>
  <c r="N317" i="1"/>
  <c r="N316" i="1"/>
  <c r="N304" i="1"/>
  <c r="N303" i="1"/>
  <c r="N269" i="1"/>
  <c r="N268" i="1"/>
  <c r="N205" i="1"/>
  <c r="N204" i="1"/>
  <c r="N189" i="1"/>
  <c r="N188" i="1"/>
  <c r="N173" i="1"/>
  <c r="N172" i="1"/>
  <c r="N157" i="1"/>
  <c r="N156" i="1"/>
  <c r="N141" i="1"/>
  <c r="N140" i="1"/>
  <c r="N125" i="1"/>
  <c r="N124" i="1"/>
  <c r="N109" i="1"/>
  <c r="N108" i="1"/>
  <c r="N93" i="1"/>
  <c r="N92" i="1"/>
  <c r="N77" i="1"/>
  <c r="N76" i="1"/>
  <c r="N61" i="1"/>
  <c r="N60" i="1"/>
  <c r="N45" i="1"/>
  <c r="N44" i="1"/>
  <c r="N30" i="1"/>
  <c r="N320" i="1"/>
  <c r="N321" i="1"/>
  <c r="N312" i="1"/>
  <c r="N311" i="1"/>
  <c r="N253" i="1"/>
  <c r="N252" i="1"/>
  <c r="N237" i="1"/>
  <c r="N236" i="1"/>
  <c r="N221" i="1"/>
  <c r="N220" i="1"/>
  <c r="N193" i="1"/>
  <c r="N177" i="1"/>
  <c r="N161" i="1"/>
  <c r="N145" i="1"/>
  <c r="N129" i="1"/>
  <c r="N113" i="1"/>
  <c r="N344" i="1"/>
  <c r="N328" i="1"/>
  <c r="N327" i="1"/>
  <c r="N319" i="1"/>
  <c r="N277" i="1"/>
  <c r="N276" i="1"/>
  <c r="N272" i="1"/>
  <c r="N29" i="1"/>
  <c r="N28" i="1"/>
  <c r="N350" i="1"/>
  <c r="N334" i="1"/>
  <c r="N246" i="1"/>
  <c r="N230" i="1"/>
  <c r="N214" i="1"/>
  <c r="N208" i="1"/>
  <c r="N38" i="1"/>
  <c r="N287" i="1"/>
  <c r="N279" i="1"/>
  <c r="N271" i="1"/>
  <c r="N263" i="1"/>
  <c r="N255" i="1"/>
  <c r="N247" i="1"/>
  <c r="N239" i="1"/>
  <c r="N231" i="1"/>
  <c r="N223" i="1"/>
  <c r="N215" i="1"/>
  <c r="N207" i="1"/>
  <c r="N199" i="1"/>
  <c r="N191" i="1"/>
  <c r="N183" i="1"/>
  <c r="N175" i="1"/>
  <c r="N167" i="1"/>
  <c r="N159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20" i="1"/>
  <c r="N15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7" i="1"/>
  <c r="N5" i="1"/>
</calcChain>
</file>

<file path=xl/sharedStrings.xml><?xml version="1.0" encoding="utf-8"?>
<sst xmlns="http://schemas.openxmlformats.org/spreadsheetml/2006/main" count="274" uniqueCount="152">
  <si>
    <t>STT</t>
  </si>
  <si>
    <t>Mã sản phẩm</t>
  </si>
  <si>
    <t>Đơn giá</t>
  </si>
  <si>
    <t>Số lượng</t>
  </si>
  <si>
    <t>Mô tả</t>
  </si>
  <si>
    <t>Convert</t>
  </si>
  <si>
    <t>Áo khoác</t>
  </si>
  <si>
    <t>"</t>
  </si>
  <si>
    <t>Dấu phẩy</t>
  </si>
  <si>
    <t>Nối từng dòng</t>
  </si>
  <si>
    <t>Tên sản phẩm</t>
  </si>
  <si>
    <t>Loại</t>
  </si>
  <si>
    <t>% giảm giá</t>
  </si>
  <si>
    <t>Hình ảnh</t>
  </si>
  <si>
    <t>Sửa/Xóa</t>
  </si>
  <si>
    <t>Sửa Xóa</t>
  </si>
  <si>
    <t>Link tổng --&gt;</t>
  </si>
  <si>
    <t>JK01</t>
  </si>
  <si>
    <t>DA BIKER JACKET</t>
  </si>
  <si>
    <t>JK02</t>
  </si>
  <si>
    <t>CODY BLAZER</t>
  </si>
  <si>
    <t>JK03</t>
  </si>
  <si>
    <t>METAL JACKET</t>
  </si>
  <si>
    <t>JK04</t>
  </si>
  <si>
    <t>TRACK JACKET BLACK</t>
  </si>
  <si>
    <t>JK05</t>
  </si>
  <si>
    <t>TRACK JACKET WHITE</t>
  </si>
  <si>
    <t>JK06</t>
  </si>
  <si>
    <t>MILLI JACKET</t>
  </si>
  <si>
    <t>JK07</t>
  </si>
  <si>
    <t>RACING HOODED JACKET</t>
  </si>
  <si>
    <t>JK08</t>
  </si>
  <si>
    <t>POC POC VEST</t>
  </si>
  <si>
    <t>JK09</t>
  </si>
  <si>
    <t>LEX VEST</t>
  </si>
  <si>
    <t>JK10</t>
  </si>
  <si>
    <t>YOUTH BLAZER</t>
  </si>
  <si>
    <t>SH01</t>
  </si>
  <si>
    <t>LIDER 2020 DANTON</t>
  </si>
  <si>
    <t>Áo sơ mi</t>
  </si>
  <si>
    <t>SH02</t>
  </si>
  <si>
    <t>LDR DANTON</t>
  </si>
  <si>
    <t>SH03</t>
  </si>
  <si>
    <t>LAYER SHIRT</t>
  </si>
  <si>
    <t>SH04</t>
  </si>
  <si>
    <t>RTG SHIRT GREY</t>
  </si>
  <si>
    <t>SH05</t>
  </si>
  <si>
    <t>RTG SHIRT RED</t>
  </si>
  <si>
    <t>SH06</t>
  </si>
  <si>
    <t>LIDER 2020 SHIRT</t>
  </si>
  <si>
    <t>SH07</t>
  </si>
  <si>
    <t>FLORES SHIRT BLACK</t>
  </si>
  <si>
    <t>SH08</t>
  </si>
  <si>
    <t>FLORES SHIRT BLUE</t>
  </si>
  <si>
    <t>SH09</t>
  </si>
  <si>
    <t>FLORES SHIRT WHITE</t>
  </si>
  <si>
    <t>SH10</t>
  </si>
  <si>
    <t>PIZZA DANTON</t>
  </si>
  <si>
    <t>TS01</t>
  </si>
  <si>
    <t>LIDER 2020 TEE WHITE</t>
  </si>
  <si>
    <t>Áo phông</t>
  </si>
  <si>
    <t>TS02</t>
  </si>
  <si>
    <t>LIDER 2020 TEE PINK</t>
  </si>
  <si>
    <t>TS03</t>
  </si>
  <si>
    <t>RACING FIVE TEE</t>
  </si>
  <si>
    <t>TS04</t>
  </si>
  <si>
    <t>OVAL TEE WHITE</t>
  </si>
  <si>
    <t>TS05</t>
  </si>
  <si>
    <t>OVAL TEE BLACK</t>
  </si>
  <si>
    <t>TS06</t>
  </si>
  <si>
    <t>LIDER 5TH TEE</t>
  </si>
  <si>
    <t>TS07</t>
  </si>
  <si>
    <t>RACING CAR TEE RED</t>
  </si>
  <si>
    <t>TS08</t>
  </si>
  <si>
    <t>ROD TEE BLACK</t>
  </si>
  <si>
    <t>TS09</t>
  </si>
  <si>
    <t>JAN TEE WHITE</t>
  </si>
  <si>
    <t>TS10</t>
  </si>
  <si>
    <t>JAN TEE PINK</t>
  </si>
  <si>
    <t>TS11</t>
  </si>
  <si>
    <t>FLORES STRIPES TEE GREY</t>
  </si>
  <si>
    <t>TS12</t>
  </si>
  <si>
    <t>FLORES STRIPES TEE BEIGE</t>
  </si>
  <si>
    <t>TS13</t>
  </si>
  <si>
    <t>BLUR TEE BLACK</t>
  </si>
  <si>
    <t>TS14</t>
  </si>
  <si>
    <t>BLUR TEE WHITE</t>
  </si>
  <si>
    <t>TS15</t>
  </si>
  <si>
    <t>JAN TEE BLACK</t>
  </si>
  <si>
    <t>TS16</t>
  </si>
  <si>
    <t>DAISY TEE BLACK</t>
  </si>
  <si>
    <t>TS17</t>
  </si>
  <si>
    <t>DAISY TEE OLIVE</t>
  </si>
  <si>
    <t>TS18</t>
  </si>
  <si>
    <t>DAISY TEE WHITE</t>
  </si>
  <si>
    <t>TS19</t>
  </si>
  <si>
    <t>DAISY TEE BEIGE</t>
  </si>
  <si>
    <t>TS20</t>
  </si>
  <si>
    <t>LIDER 2020 TEE BLACK</t>
  </si>
  <si>
    <t>TR01</t>
  </si>
  <si>
    <t>UPSIDE DOWN JEANS</t>
  </si>
  <si>
    <t>Quần dài</t>
  </si>
  <si>
    <t>SIZE XS: Eo: 72cm; Dài quần: 90cm; Đùi: 50cm</t>
  </si>
  <si>
    <t>TR02</t>
  </si>
  <si>
    <t>RACING LEATHER PANTS</t>
  </si>
  <si>
    <t> </t>
  </si>
  <si>
    <t>Size S: Chiều dài: 62cm; Chiều rộng: 106cm 
Size M: Chiều dài: 63cm; Chiều rộng: 108cm 
Size L: Chiều dài: 64cm; Chiều rộng: 112cm</t>
  </si>
  <si>
    <t>Size S: Chiều dài: 74cm; Chiều rộng: 112cm, Dài tay: 62cm_x000D_
Size M: Chiều dài: 78cm; Chiều rộng: 114cm, Dài tay: 68cm</t>
  </si>
  <si>
    <t>Size S: Chiều dài: 69cm; Chiều rộng: 120cm_x000D_
Size M: Chiều dài: 72cm; Chiều rộng: 122cm_x000D_
Size L: Chiều dài: 75cm; Chiều rộng: 124cm</t>
  </si>
  <si>
    <t>Size S: Chiều dài: 65cm; Chiều rộng: 128cm; Dài tay: 64cm_x000D_
Size M: Chiều dài: 67cm; Chiều rộng: 132cm; Dài tay: 66cm_x000D_
Size L: Chiều dài: 69cm; Chiều rộng: 136cm; Dài tay: 68cm</t>
  </si>
  <si>
    <t>Size S: Chiều dài: 67 cm; Chiều rộng: 118 cm; Dài tay: 69 cm_x000D_
Size M: Chiều dài: 68 cm; Chiều rộng: 122 cm; Dài tay: 70 cm_x000D_
Size L: Chiều dài: 69 cm; Chiều rộng: 126 cm; Dài tay: 71 cm</t>
  </si>
  <si>
    <t>Size M: Chiều dài: 71 cm; Chiều rộng 120 cm
Size L: Chiều dài: 73 cm; Chiều rộng 124 cm</t>
  </si>
  <si>
    <t>Size S: Chiều dài: 66cm; Chiều rộng: 56cm_x000D_
Size M: Chiều dài: 69cm; Chiều rộng: 58cm_x000D_
Size L: Chiều dài: 72cm; Chiều rộng: 60cm</t>
  </si>
  <si>
    <t>Size S: Chiều dài: 60 cm; Chiều rộng: 106 cm_x000D_
Size M: Chiều dài: 63 cm; Chiều rộng: 110 cm_x000D_
Size L: Chiều dài: 66 cm; Chiều rộng: 114 cm</t>
  </si>
  <si>
    <t>Size S: Chiều dài: 74cm; Chiều rộng: 112cm, Dài tay: 62cm_x000D_
Size M: Chiều dài: 78cm; Chiều rộng: 114cm, Dài tay: 68cm_x000D_
Size L: Chiều dài: 80cm; Chiều rộng: 116cm, Dài tay: 69cm</t>
  </si>
  <si>
    <t xml:space="preserve">Size S: Chiều dài: 70cm; Chiều rộng: 120cm 
Size M: Chiều dài: 72cm; Chiều rộng: 124cm 
Size L: Chiều dài: 74cm; Chiều rộng: 128cm </t>
  </si>
  <si>
    <t xml:space="preserve">Size S: Chiều dài: 70cm; Chiều rộng: 120cm _x000D_
Size M: Chiều dài: 72cm; Chiều rộng: 124cm _x000D_
Size L: Chiều dài: 74cm; Chiều rộng: 128cm </t>
  </si>
  <si>
    <t xml:space="preserve">Size M: Chiều dài: 68cm; Chiều rộng: 140cm 
Size L: Chiều dài: 70cm; Chiều rộng: 142cm </t>
  </si>
  <si>
    <t>Size S: Chiều dài: 75cm; Chiều rộng: 65cm_x000D_
Size M: Chiều dài: 77cm; Chiều rộng: 66cm_x000D_
Size L: Chiều dài: 79cm; Chiều rộng: 67cm</t>
  </si>
  <si>
    <t xml:space="preserve">Size M: Chiều dài: 68cm; Chiều rộng: 140cm _x000D_
Size L: Chiều dài: 70cm; Chiều rộng: 142cm </t>
  </si>
  <si>
    <t xml:space="preserve">Size S: Chiều dài: 73cm; Chiều rộng: 106cm _x000D_
Size M: Chiều dài: 75cm; Chiều rộng: 109cm _x000D_
Size L: Chiều dài: 77cm; Chiều rộng: 112cm </t>
  </si>
  <si>
    <t>Size S: Chiều dài: 72cm; Chiều rộng: 108cm_x000D_
Size M: Chiều dài: 73cm; Chiều rộng: 109cm_x000D_
Size L: Chiều dài: 74cm; Chiều rộng: 110cm</t>
  </si>
  <si>
    <t>Size S: Chiều dài: 72cm; Chiều rộng 108cm_x000D_
Size M: Chiều dài: 73cm; Chiều rộng: 109cm_x000D_
Size L: Chiều dài: 74cm; Chiều rộng: 110cm</t>
  </si>
  <si>
    <t>Size S Chiều dài 72cm Chiều rộng 114cm_x000D_
Size M Chiều dài 75cm Chiều rộng 117cm_x000D_
Size L Chiều dài 77cm Chiều rộng 120cm</t>
  </si>
  <si>
    <t>Size S: Chiều dài: 72cm; Chiều rộng: 114cm_x000D_
Size M: Chiều dài: 75cm; Chiều rộng: 117cm_x000D_
Size L: Chiều dài: 77cm; Chiều rộng: 120cm</t>
  </si>
  <si>
    <t>Size S: Chiều dài: 73cm; Chiều rộng: 106cm _x000D_
Size M: Chiều dài: 75cm; Chiều rộng: 109cm _x000D_
Size L: Chiều dài: 77cm; Chiều rộng: 112cm</t>
  </si>
  <si>
    <t>SIZE S: Eo: 78cm; Dài quần: 98cm; Đùi: 50cm_x000D_
SIZE M: Eo: 82cm; Dài quần: 99cm; Đùi: 52cm_x000D_
SIZE L: Eo: 86cm; Dài quần: 100cm; Đùi: 54cm</t>
  </si>
  <si>
    <t>TR03</t>
  </si>
  <si>
    <t>TR04</t>
  </si>
  <si>
    <t>TR05</t>
  </si>
  <si>
    <t>TR06</t>
  </si>
  <si>
    <t>TR07</t>
  </si>
  <si>
    <t>TR08</t>
  </si>
  <si>
    <t>TR09</t>
  </si>
  <si>
    <t>TR10</t>
  </si>
  <si>
    <t>Model cao 1m84 nặng 70kg: Áo Size L; Quần Size L
Size Charts:
SIZE S: Eo: 72cm, Dài quần: 102cm, Đùi: 62cm
SIZE M: Eo: 74cm, Dài quần: 106cm, Đùi: 64cm
SIZE L: Eo: 76cm, Dài quần: 110cm, Đùi: 66cm</t>
  </si>
  <si>
    <t>ADAM PANTS</t>
  </si>
  <si>
    <t>BIG BOI JEANS</t>
  </si>
  <si>
    <t>Model cao 1m76 nặng 70kg: Áo Size L; Quần Size M
Size Charts:
SIZE XS: Eo: 76cm, Dài quần: 105cm, Đùi: 60cm
SIZE S: Eo: 78cm, Dài quần: 106cm, Đùi: 62cm
SIZE M: Eo: 80cm, Dài quần: 107cm, Đùi: 64cm
SIZE L: Eo: 82cm, Dài quần: 108cm, Đùi: 66cm</t>
  </si>
  <si>
    <t>CODY PANTS</t>
  </si>
  <si>
    <t>Model cao 1m84 nặng 70kg: Áo Size L; Quần Size L
Size Charts:
SIZE S: Eo: 72cm, Dài quần: 102cm, Đùi: 62cm
SIZE M: Eo: 74cm, Dài quần: 106cm, Đùi: 64cm</t>
  </si>
  <si>
    <t>BAS JEANS</t>
  </si>
  <si>
    <t>SIZE XS: Eo: 76cm, Dài quần: 108cm, Đùi: 56cm
SIZE S: Eo: 82cm, Dài quần: 111cm, Đùi: 58cm
SIZE M: Eo: 88cm, Dài quần: 114cm, Đùi: 60cm
SIZE L: Eo: 94cm, Dài quần: 117cm, Đùi: 62cm</t>
  </si>
  <si>
    <t>BLACK SKINNY Jeans</t>
  </si>
  <si>
    <t>SIZE XS: Eo: 80cm, Dài quần: 97cm, Đùi: 49cm
SIZE S: Eo: 82cm, Dài quần: 99cm, Đùi: 50cm
SIZE M: Eo: 84cm, Dài quần: 102cm, Đùi: 53cm</t>
  </si>
  <si>
    <t>INDIGO PANTS</t>
  </si>
  <si>
    <t>Model cao 1m84 nặng 70kg: Áo Size L; Quần Size L
Size Charts:
SIZE S: Eo: 72cm, Dài quần: 95cm, Đùi: 52cm
SIZE M: Eo: 84cm, Dài quần: 96cm, Đùi: 54cm
SIZE L: Eo: 76cm, Dài quần: 98cm, Đùi: 56cm</t>
  </si>
  <si>
    <t>BEGGA JEANS</t>
  </si>
  <si>
    <t>SIZE XS: Eo: 72cm, Dài quần: 91cm, Đùi: 52cm
SIZE S: Eo: 75cm, Dài quần: 93cm, Đùi: 54cm
SIZE M: Eo: 78cm, Dài quần: 95cm, Đùi: 56cm
SIZE L: Eo: 81cm, Dài quần: 97cm, Đùi: 58cm</t>
  </si>
  <si>
    <t>SIZE XS: Eo: 66cm, Dài quần: 82cm, Đùi: 50cm
SIZE S: Eo: 72cm, Dài quần: 86cm, Đùi: 44cm
SIZE M: Eo: 78cm, Dài quần: 90cm, Đùi: 46cm
SIZE L: Eo: 84cm, Dài quần: 94cm, Đùi: 48cm</t>
  </si>
  <si>
    <t>FUNKY JEANS</t>
  </si>
  <si>
    <t>Convert Mô tả có dấu xuống dòng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</si>
</sst>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212529"/>
      <name val="Segoe UI"/>
      <family val="2"/>
    </font>
    <font>
      <b/>
      <sz val="10"/>
      <color rgb="FF212529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DF4C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DDDDD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quotePrefix="1" applyAlignment="1"/>
    <xf numFmtId="0" fontId="2" fillId="3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3" fontId="1" fillId="0" borderId="2" xfId="0" applyNumberFormat="1" applyFont="1" applyBorder="1" applyAlignment="1" applyProtection="1">
      <alignment horizontal="center" vertical="center" wrapText="1"/>
      <protection locked="0"/>
    </xf>
    <xf numFmtId="9" fontId="1" fillId="0" borderId="2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left" wrapText="1"/>
    </xf>
    <xf numFmtId="0" fontId="2" fillId="2" borderId="2" xfId="0" applyFont="1" applyFill="1" applyBorder="1" applyAlignment="1">
      <alignment horizontal="left" wrapText="1"/>
    </xf>
    <xf numFmtId="0" fontId="1" fillId="0" borderId="2" xfId="0" applyFon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Alignment="1">
      <alignment horizontal="left" wrapText="1"/>
    </xf>
    <xf numFmtId="49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/>
    <xf numFmtId="0" fontId="3" fillId="0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5</xdr:col>
          <xdr:colOff>76200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topLeftCell="B1" workbookViewId="0">
      <selection activeCell="C1" sqref="C1"/>
    </sheetView>
  </sheetViews>
  <sheetFormatPr defaultRowHeight="14.4" x14ac:dyDescent="0.3"/>
  <cols>
    <col min="1" max="1" width="3.88671875" style="7" bestFit="1" customWidth="1"/>
    <col min="2" max="2" width="11.88671875" style="7" bestFit="1" customWidth="1"/>
    <col min="3" max="3" width="21.77734375" style="7" customWidth="1"/>
    <col min="4" max="4" width="8.44140625" style="7" bestFit="1" customWidth="1"/>
    <col min="5" max="5" width="12" style="7" customWidth="1"/>
    <col min="6" max="6" width="8.109375" style="7" bestFit="1" customWidth="1"/>
    <col min="7" max="7" width="8" style="7" bestFit="1" customWidth="1"/>
    <col min="8" max="8" width="11.5546875" style="7" bestFit="1" customWidth="1"/>
    <col min="9" max="9" width="26.5546875" style="17" customWidth="1"/>
    <col min="10" max="10" width="12.88671875" style="7" customWidth="1"/>
    <col min="11" max="11" width="22.21875" style="7" bestFit="1" customWidth="1"/>
    <col min="12" max="12" width="15.33203125" style="1" customWidth="1"/>
    <col min="13" max="14" width="8.88671875" customWidth="1"/>
  </cols>
  <sheetData>
    <row r="1" spans="1:18" s="19" customFormat="1" ht="31.8" customHeight="1" x14ac:dyDescent="0.3">
      <c r="B1" s="23" t="s">
        <v>16</v>
      </c>
      <c r="C1" s="24" t="str">
        <f>CLEAN(_xlfn.CONCAT("[",N4:N999,"]"))</f>
        <v>[{"no":"JK01","name":"DA BIKER JACKET","category":"Áo khoác","price":850000,"quantity":5,"discount":5,"images":" 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 ","description":"Size S: Chiều dài: 74cm; Chiều rộng: 112cm, Dài tay: 62cm&lt;br&gt;Size M: Chiều dài: 78cm; Chiều rộng: 114cm, Dài tay: 68cm"},{"no":"JK03","name":"METAL JACKET","category":"Áo khoác","price":790000,"quantity":30,"discount":20,"images":" 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 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 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 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 ","description":"Size M: Chiều dài: 71 cm; Chiều rộng 120 cm&lt;br&gt;Size L: Chiều dài: 73 cm; Chiều rộng 124 cm"},{"no":"JK08","name":"POC POC VEST","category":"Áo khoác","price":720000,"quantity":2,"discount":0,"images":" ","description":"Size S: Chiều dài: 66cm; Chiều rộng: 56cm&lt;br&gt;Size M: Chiều dài: 69cm; Chiều rộng: 58cm&lt;br&gt;Size L: Chiều dài: 72cm; Chiều rộng: 60cm"},{"no":"JK09","name":"LEX VEST","category":"Áo khoác","price":780000,"quantity":10,"discount":0,"images":"","description":"Size S: Chiều dài: 60 cm; Chiều rộng: 106 cm&lt;br&gt;Size M: Chiều dài: 63 cm; Chiều rộng: 110 cm&lt;br&gt;Size L: Chiều dài: 66 cm; Chiều rộng: 114 cm"},{"no":"JK10","name":"YOUTH BLAZER","category":"Áo khoác","price":920000,"quantity":10,"discount":0,"images":"","description":"Size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mi","price":450000,"quantity":10,"discount":0,"images":"","description":"Size S: Chiều dài: 70cm; Chiều rộng: 120cm &lt;br&gt;Size M: Chiều dài: 72cm; Chiều rộng: 124cm &lt;br&gt;Size L: Chiều dài: 74cm; Chiều rộng: 128cm "},{"no":"SH02","name":"LDR DANTON","category":"Áo sơ mi","price":450000,"quantity":10,"discount":0,"images":"","description":"Size S: Chiều dài: 70cm; Chiều rộng: 120cm &lt;br&gt;Size M: Chiều dài: 72cm; Chiều rộng: 124cm &lt;br&gt;Size L: Chiều dài: 74cm; Chiều rộng: 128cm "},{"no":"SH03","name":"LAYER SHIRT","category":"Áo sơ mi","price":650000,"quantity":10,"discount":0,"images":"","description":"Size M: Chiều dài: 68cm; Chiều rộng: 140cm &lt;br&gt;Size L: Chiều dài: 70cm; Chiều rộng: 142cm "},{"no":"SH04","name":"RTG SHIRT GREY","category":"Áo sơ mi","price":520000,"quantity":10,"discount":0,"images":"","description":"Size S: Chiều dài: 75cm; Chiều rộng: 65cm&lt;br&gt;Size M: Chiều dài: 77cm; Chiều rộng: 66cm&lt;br&gt;Size L: Chiều dài: 79cm; Chiều rộng: 67cm"},{"no":"SH05","name":"RTG SHIRT RED","category":"Áo sơ mi","price":520000,"quantity":10,"discount":0,"images":"","description":"Size S: Chiều dài: 75cm; Chiều rộng: 65cm&lt;br&gt;Size M: Chiều dài: 77cm; Chiều rộng: 66cm&lt;br&gt;Size L: Chiều dài: 79cm; Chiều rộng: 67cm"},{"no":"SH06","name":"LIDER 2020 SHIRT","category":"Áo sơ mi","price":490000,"quantity":10,"discount":0,"images":"","description":"Size M: Chiều dài: 68cm; Chiều rộng: 140cm &lt;br&gt;Size L: Chiều dài: 70cm; Chiều rộng: 142cm "},{"no":"SH07","name":"FLORES SHIRT BLACK","category":"Áo sơ mi","price":620000,"quantity":10,"discount":0,"images":"","description":"Size M: Chiều dài: 68cm; Chiều rộng: 140cm &lt;br&gt;Size L: Chiều dài: 70cm; Chiều rộng: 142cm "},{"no":"SH08","name":"FLORES SHIRT BLUE","category":"Áo sơ mi","price":620000,"quantity":10,"discount":0,"images":"","description":"Size M: Chiều dài: 68cm; Chiều rộng: 140cm &lt;br&gt;Size L: Chiều dài: 70cm; Chiều rộng: 142cm "},{"no":"SH09","name":"FLORES SHIRT WHITE","category":"Áo sơ mi","price":590000,"quantity":10,"discount":0,"images":"","description":"Size M: Chiều dài: 68cm; Chiều rộng: 140cm &lt;br&gt;Size L: Chiều dài: 70cm; Chiều rộng: 142cm "},{"no":"SH10","name":"PIZZA DANTON","category":"Áo sơ mi","price":420000,"quantity":10,"discount":0,"images":"","description":"Size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phông","price":360000,"quantity":10,"discount":0,"images":"","description":"Size S: Chiều dài: 72cm; Chiều rộng: 108cm&lt;br&gt;Size M: Chiều dài: 73cm; Chiều rộng: 109cm&lt;br&gt;Size L: Chiều dài: 74cm; Chiều rộng: 110cm"},{"no":"TS02","name":"LIDER 2020 TEE PINK","category":"Áo phông","price":360000,"quantity":10,"discount":0,"images":"","description":"Size S: Chiều dài: 72cm; Chiều rộng: 108cm&lt;br&gt;Size M: Chiều dài: 73cm; Chiều rộng: 109cm&lt;br&gt;Size L: Chiều dài: 74cm; Chiều rộng: 110cm"},{"no":"TS03","name":"RACING FIVE TEE","category":"Áo phông","price":360000,"quantity":10,"discount":0,"images":"","description":"Size S: Chiều dài: 72cm; Chiều rộng 108cm&lt;br&gt;Size M: Chiều dài: 73cm; Chiều rộng: 109cm&lt;br&gt;Size L: Chiều dài: 74cm; Chiều rộng: 110cm"},{"no":"TS04","name":"OVAL TEE WHITE","category":"Áo phông","price":380000,"quantity":10,"discount":0,"images":"","description":"Size S Chiều dài 72cm Chiều rộng 114cm&lt;br&gt;Size M Chiều dài 75cm Chiều rộng 117cm&lt;br&gt;Size L Chiều dài 77cm Chiều rộng 120cm"},{"no":"TS05","name":"OVAL TEE BLACK","category":"Áo phông","price":380000,"quantity":10,"discount":0,"images":"","description":"Size S: Chiều dài: 72cm; Chiều rộng: 114cm&lt;br&gt;Size M: Chiều dài: 75cm; Chiều rộng: 117cm&lt;br&gt;Size L: Chiều dài: 77cm; Chiều rộng: 120cm"},{"no":"TS06","name":"LIDER 5TH TEE","category":"Áo phông","price":360000,"quantity":10,"discount":0,"images":"","description":"Size S: Chiều dài: 72cm; Chiều rộng: 108cm&lt;br&gt;Size M: Chiều dài: 73cm; Chiều rộng: 109cm&lt;br&gt;Size L: Chiều dài: 74cm; Chiều rộng: 110cm"},{"no":"TS07","name":"RACING CAR TEE RED","category":"Áo phông","price":390000,"quantity":10,"discount":0,"images":"","description":"Size S: Chiều dài: 72cm; Chiều rộng: 108cm&lt;br&gt;Size M: Chiều dài: 73cm; Chiều rộng: 109cm&lt;br&gt;Size L: Chiều dài: 74cm; Chiều rộng: 110cm"},{"no":"TS08","name":"ROD TEE BLACK","category":"Áo phông","price":360000,"quantity":10,"discount":0,"images":"","description":"Size S: Chiều dài: 72cm; Chiều rộng: 108cm&lt;br&gt;Size M: Chiều dài: 73cm; Chiều rộng: 109cm&lt;br&gt;Size L: Chiều dài: 74cm; Chiều rộng: 110cm"},{"no":"TS09","name":"JAN TEE WHITE","category":"Áo phông","price":360000,"quantity":10,"discount":0,"images":"","description":"Size S: Chiều dài: 72cm; Chiều rộng: 108cm&lt;br&gt;Size M: Chiều dài: 73cm; Chiều rộng: 109cm&lt;br&gt;Size L: Chiều dài: 74cm; Chiều rộng: 110cm"},{"no":"TS10","name":"JAN TEE PINK","category":"Áo phông","price":360000,"quantity":10,"discount":0,"images":"","description":"Size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phông","price":390000,"quantity":10,"discount":0,"images":"","description":"Size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phông","price":390000,"quantity":10,"discount":0,"images":"","description":"Size S: Chiều dài: 72cm; Chiều rộng: 108cm&lt;br&gt;Size M: Chiều dài: 73cm; Chiều rộng: 109cm&lt;br&gt;Size L: Chiều dài: 74cm; Chiều rộng: 110cm"},{"no":"TS13","name":"BLUR TEE BLACK","category":"Áo phông","price":380000,"quantity":10,"discount":0,"images":"","description":"Size S: Chiều dài: 72cm; Chiều rộng: 114cm&lt;br&gt;Size M: Chiều dài: 75cm; Chiều rộng: 117cm&lt;br&gt;Size L: Chiều dài: 77cm; Chiều rộng: 120cm"},{"no":"TS14","name":"BLUR TEE WHITE","category":"Áo phông","price":380000,"quantity":10,"discount":0,"images":"","description":"Size S: Chiều dài: 72cm; Chiều rộng: 114cm&lt;br&gt;Size M: Chiều dài: 75cm; Chiều rộng: 117cm&lt;br&gt;Size L: Chiều dài: 77cm; Chiều rộng: 120cm"},{"no":"TS15","name":"JAN TEE BLACK","category":"Áo phông","price":360000,"quantity":10,"discount":0,"images":"","description":"Size S: Chiều dài: 72cm; Chiều rộng: 108cm&lt;br&gt;Size M: Chiều dài: 73cm; Chiều rộng: 109cm&lt;br&gt;Size L: Chiều dài: 74cm; Chiều rộng: 110cm"},{"no":"TS16","name":"DAISY TEE BLACK","category":"Áo phông","price":380000,"quantity":10,"discount":0,"images":"","description":"Size S: Chiều dài: 73cm; Chiều rộng: 106cm &lt;br&gt;Size M: Chiều dài: 75cm; Chiều rộng: 109cm &lt;br&gt;Size L: Chiều dài: 77cm; Chiều rộng: 112cm"},{"no":"TS17","name":"DAISY TEE OLIVE","category":"Áo phông","price":380000,"quantity":10,"discount":0,"images":"","description":"Size S: Chiều dài: 73cm; Chiều rộng: 106cm &lt;br&gt;Size M: Chiều dài: 75cm; Chiều rộng: 109cm &lt;br&gt;Size L: Chiều dài: 77cm; Chiều rộng: 112cm"},{"no":"TS18","name":"DAISY TEE WHITE","category":"Áo phông","price":380000,"quantity":10,"discount":0,"images":"","description":"Size S: Chiều dài: 73cm; Chiều rộng: 106cm &lt;br&gt;Size M: Chiều dài: 75cm; Chiều rộng: 109cm &lt;br&gt;Size L: Chiều dài: 77cm; Chiều rộng: 112cm"},{"no":"TS19","name":"DAISY TEE BEIGE","category":"Áo phông","price":380000,"quantity":10,"discount":0,"images":"","description":"Size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phông","price":360000,"quantity":10,"discount":0,"images":"","description":"Size S: Chiều dài: 72cm; Chiều rộng: 108cm&lt;br&gt;Size M: Chiều dài: 73cm; Chiều rộng: 109cm&lt;br&gt;Size L: Chiều dài: 74cm; Chiều rộng: 110cm"},{"no":"TR01","name":"UPSIDE DOWN JEANS","category":"Quần dài","price":720000,"quantity":10,"discount":0,"images":"","description":"SIZE XS: Eo: 72cm; Dài quần: 90cm; Đùi: 50cm"},{"no":"TR02","name":"RACING LEATHER PANTS","category":"Quần dài","price":720000,"quantity":10,"discount":0,"images":"","description":"SIZE S: Eo: 78cm; Dài quần: 98cm; Đùi: 50cm&lt;br&gt;SIZE M: Eo: 82cm; Dài quần: 99cm; Đùi: 52cm&lt;br&gt;SIZE L: Eo: 86cm; Dài quần: 100cm; Đùi: 54cm"},{"no":"TR03","name":"ADAM PANTS","category":"Quần dài","price":650000,"quantity":10,"discount":0,"images":"","description":"Model cao 1m84 nặng 70kg: Áo Size L; Quần Size L&lt;br&gt;Size Charts:&lt;br&gt;SIZE S: Eo: 72cm, Dài quần: 102cm, Đùi: 62cm&lt;br&gt;SIZE M: Eo: 74cm, Dài quần: 106cm, Đùi: 64cm&lt;br&gt;SIZE L: Eo: 76cm, Dài quần: 110cm, Đùi: 66cm"},{"no":"TR04","name":"BIG BOI JEANS","category":"Quần dài","price":760000,"quantity":10,"discount":0,"images":"","description":"Model cao 1m76 nặng 70kg: Áo Size L; Quần Size M&lt;br&gt;Size Charts:&lt;br&gt;SIZE XS: Eo: 76cm, Dài quần: 105cm, Đùi: 60cm&lt;br&gt;SIZE S: Eo: 78cm, Dài quần: 106cm, Đùi: 62cm&lt;br&gt;SIZE M: Eo: 80cm, Dài quần: 107cm, Đùi: 64cm&lt;br&gt;SIZE L: Eo: 82cm, Dài quần: 108cm, Đùi: 66cm"},{"no":"TR05","name":"CODY PANTS","category":"Quần dài","price":690000,"quantity":10,"discount":0,"images":"","description":"Model cao 1m84 nặng 70kg: Áo Size L; Quần Size L&lt;br&gt;Size Charts:&lt;br&gt;SIZE S: Eo: 72cm, Dài quần: 102cm, Đùi: 62cm&lt;br&gt;SIZE M: Eo: 74cm, Dài quần: 106cm, Đùi: 64cm"},{"no":"TR06","name":"BAS JEANS","category":"Quần dài","price":790000,"quantity":10,"discount":0,"images":"","description":"SIZE XS: Eo: 76cm, Dài quần: 108cm, Đùi: 56cm&lt;br&gt;SIZE S: Eo: 82cm, Dài quần: 111cm, Đùi: 58cm&lt;br&gt;SIZE M: Eo: 88cm, Dài quần: 114cm, Đùi: 60cm&lt;br&gt;SIZE L: Eo: 94cm, Dài quần: 117cm, Đùi: 62cm"},{"no":"TR07","name":"BLACK SKINNY Jeans","category":"Quần dài","price":690000,"quantity":10,"discount":0,"images":"","description":"SIZE XS: Eo: 80cm, Dài quần: 97cm, Đùi: 49cm&lt;br&gt;SIZE S: Eo: 82cm, Dài quần: 99cm, Đùi: 50cm&lt;br&gt;SIZE M: Eo: 84cm, Dài quần: 102cm, Đùi: 53cm"},{"no":"TR08","name":"INDIGO PANTS","category":"Quần dài","price":690000,"quantity":10,"discount":0,"images":"","description":"Model cao 1m84 nặng 70kg: Áo Size L; Quần Size L&lt;br&gt;Size Charts:&lt;br&gt;SIZE S: Eo: 72cm, Dài quần: 95cm, Đùi: 52cm&lt;br&gt;SIZE M: Eo: 84cm, Dài quần: 96cm, Đùi: 54cm&lt;br&gt;SIZE L: Eo: 76cm, Dài quần: 98cm, Đùi: 56cm"},{"no":"TR09","name":"BEGGA JEANS","category":"Quần dài","price":820000,"quantity":10,"discount":0,"images":"","description":"SIZE XS: Eo: 72cm, Dài quần: 91cm, Đùi: 52cm&lt;br&gt;SIZE S: Eo: 75cm, Dài quần: 93cm, Đùi: 54cm&lt;br&gt;SIZE M: Eo: 78cm, Dài quần: 95cm, Đùi: 56cm&lt;br&gt;SIZE L: Eo: 81cm, Dài quần: 97cm, Đùi: 58cm"},{"no":"TR10","name":"FUNKY JEANS","category":"Quần dài","price":750000,"quantity":10,"discount":0,"images":"","description":"SIZE XS: Eo: 66cm, Dài quần: 82cm, Đùi: 50cm&lt;br&gt;&lt;br&gt;SIZE S: Eo: 72cm, Dài quần: 86cm, Đùi: 44cm&lt;br&gt;&lt;br&gt;SIZE M: Eo: 78cm, Dài quần: 90cm, Đùi: 46cm&lt;br&gt;&lt;br&gt;SIZE L: Eo: 84cm, Dài quần: 94cm, Đùi: 48cm"}]</v>
      </c>
      <c r="D1" s="23"/>
      <c r="E1" s="22"/>
      <c r="F1" s="23"/>
      <c r="G1" s="22"/>
      <c r="I1" s="20"/>
      <c r="L1" s="21"/>
      <c r="M1" s="19" t="s">
        <v>7</v>
      </c>
    </row>
    <row r="2" spans="1:18" ht="15" thickBot="1" x14ac:dyDescent="0.35">
      <c r="A2"/>
      <c r="B2" s="23"/>
      <c r="C2" s="23"/>
      <c r="D2" s="23"/>
      <c r="E2" s="23"/>
      <c r="F2" s="23"/>
      <c r="G2" s="23"/>
      <c r="H2"/>
      <c r="I2" s="13"/>
      <c r="J2"/>
      <c r="K2"/>
    </row>
    <row r="3" spans="1:18" ht="45.6" thickBot="1" x14ac:dyDescent="0.4">
      <c r="A3" s="5" t="s">
        <v>0</v>
      </c>
      <c r="B3" s="5" t="s">
        <v>1</v>
      </c>
      <c r="C3" s="5" t="s">
        <v>10</v>
      </c>
      <c r="D3" s="5" t="s">
        <v>11</v>
      </c>
      <c r="E3" s="5" t="s">
        <v>2</v>
      </c>
      <c r="F3" s="5" t="s">
        <v>3</v>
      </c>
      <c r="G3" s="5" t="s">
        <v>12</v>
      </c>
      <c r="H3" s="5" t="s">
        <v>13</v>
      </c>
      <c r="I3" s="14" t="s">
        <v>4</v>
      </c>
      <c r="J3" s="5" t="s">
        <v>14</v>
      </c>
      <c r="K3" s="4" t="s">
        <v>151</v>
      </c>
      <c r="L3" s="4" t="s">
        <v>5</v>
      </c>
      <c r="M3" s="4" t="s">
        <v>8</v>
      </c>
      <c r="N3" s="4" t="s">
        <v>9</v>
      </c>
    </row>
    <row r="4" spans="1:18" ht="90.6" thickBot="1" x14ac:dyDescent="0.35">
      <c r="A4" s="8">
        <v>1</v>
      </c>
      <c r="B4" s="8" t="s">
        <v>17</v>
      </c>
      <c r="C4" s="8" t="s">
        <v>18</v>
      </c>
      <c r="D4" s="8" t="s">
        <v>6</v>
      </c>
      <c r="E4" s="9">
        <v>850000</v>
      </c>
      <c r="F4" s="8">
        <v>5</v>
      </c>
      <c r="G4" s="10">
        <v>0.05</v>
      </c>
      <c r="H4" s="8" t="s">
        <v>105</v>
      </c>
      <c r="I4" s="15" t="s">
        <v>106</v>
      </c>
      <c r="J4" s="8" t="s">
        <v>15</v>
      </c>
      <c r="K4" s="1" t="str">
        <f>SUBSTITUTE(I4,CHAR(10),"&lt;br&gt;")</f>
        <v>Size S: Chiều dài: 62cm; Chiều rộng: 106cm &lt;br&gt;Size M: Chiều dài: 63cm; Chiều rộng: 108cm &lt;br&gt;Size L: Chiều dài: 64cm; Chiều rộng: 112cm</v>
      </c>
      <c r="L4" s="3" t="str">
        <f>IF(B4="","","{"&amp;$M$1&amp;"no"&amp;$M$1&amp;":"&amp;$M$1&amp;""&amp;B4&amp;""&amp;$M$1&amp;","&amp;$M$1&amp;"name"&amp;$M$1&amp;":"&amp;$M$1&amp;""&amp;C4&amp;""&amp;$M$1&amp;","&amp;$M$1&amp;"category"&amp;$M$1&amp;":"&amp;$M$1&amp;""&amp;D4&amp;""&amp;$M$1&amp;","&amp;$M$1&amp;"price"&amp;$M$1&amp;":"&amp;E4&amp;","&amp;$M$1&amp;"quantity"&amp;$M$1&amp;":"&amp;F4&amp;","&amp;$M$1&amp;"discount"&amp;$M$1&amp;":"&amp;G4*100&amp;","&amp;$M$1&amp;"images"&amp;$M$1&amp;":"&amp;$M$1&amp;""&amp;H4&amp;""&amp;$M$1&amp;","&amp;$M$1&amp;"description"&amp;$M$1&amp;":"&amp;$M$1&amp;""&amp;K4&amp;""&amp;$M$1&amp;"}")</f>
        <v>{"no":"JK01","name":"DA BIKER JACKET","category":"Áo khoác","price":850000,"quantity":5,"discount":5,"images":" ","description":"Size S: Chiều dài: 62cm; Chiều rộng: 106cm &lt;br&gt;Size M: Chiều dài: 63cm; Chiều rộng: 108cm &lt;br&gt;Size L: Chiều dài: 64cm; Chiều rộng: 112cm"}</v>
      </c>
      <c r="M4" s="2" t="str">
        <f>IF(L5="","",",")</f>
        <v>,</v>
      </c>
      <c r="N4" t="str">
        <f>_xlfn.CONCAT(L4,M4)</f>
        <v>{"no":"JK01","name":"DA BIKER JACKET","category":"Áo khoác","price":850000,"quantity":5,"discount":5,"images":" ","description":"Size S: Chiều dài: 62cm; Chiều rộng: 106cm &lt;br&gt;Size M: Chiều dài: 63cm; Chiều rộng: 108cm &lt;br&gt;Size L: Chiều dài: 64cm; Chiều rộng: 112cm"},</v>
      </c>
      <c r="R4" s="2"/>
    </row>
    <row r="5" spans="1:18" ht="90.6" thickBot="1" x14ac:dyDescent="0.35">
      <c r="A5" s="8">
        <v>2</v>
      </c>
      <c r="B5" s="8" t="s">
        <v>19</v>
      </c>
      <c r="C5" s="8" t="s">
        <v>20</v>
      </c>
      <c r="D5" s="8" t="s">
        <v>6</v>
      </c>
      <c r="E5" s="9">
        <v>890000</v>
      </c>
      <c r="F5" s="8">
        <v>15</v>
      </c>
      <c r="G5" s="10">
        <v>0.05</v>
      </c>
      <c r="H5" s="8" t="s">
        <v>105</v>
      </c>
      <c r="I5" s="15" t="s">
        <v>107</v>
      </c>
      <c r="J5" s="8" t="s">
        <v>15</v>
      </c>
      <c r="K5" s="2" t="str">
        <f t="shared" ref="K5:K68" si="0">SUBSTITUTE(I5,CHAR(10),"&lt;br&gt;")</f>
        <v>Size S: Chiều dài: 74cm; Chiều rộng: 112cm, Dài tay: 62cm_x000D_&lt;br&gt;Size M: Chiều dài: 78cm; Chiều rộng: 114cm, Dài tay: 68cm</v>
      </c>
      <c r="L5" s="3" t="str">
        <f t="shared" ref="L5:L68" si="1">IF(B5="","","{"&amp;$M$1&amp;"no"&amp;$M$1&amp;":"&amp;$M$1&amp;""&amp;B5&amp;""&amp;$M$1&amp;","&amp;$M$1&amp;"name"&amp;$M$1&amp;":"&amp;$M$1&amp;""&amp;C5&amp;""&amp;$M$1&amp;","&amp;$M$1&amp;"category"&amp;$M$1&amp;":"&amp;$M$1&amp;""&amp;D5&amp;""&amp;$M$1&amp;","&amp;$M$1&amp;"price"&amp;$M$1&amp;":"&amp;E5&amp;","&amp;$M$1&amp;"quantity"&amp;$M$1&amp;":"&amp;F5&amp;","&amp;$M$1&amp;"discount"&amp;$M$1&amp;":"&amp;G5*100&amp;","&amp;$M$1&amp;"images"&amp;$M$1&amp;":"&amp;$M$1&amp;""&amp;H5&amp;""&amp;$M$1&amp;","&amp;$M$1&amp;"description"&amp;$M$1&amp;":"&amp;$M$1&amp;""&amp;K5&amp;""&amp;$M$1&amp;"}")</f>
        <v>{"no":"JK02","name":"CODY BLAZER","category":"Áo khoác","price":890000,"quantity":15,"discount":5,"images":" ","description":"Size S: Chiều dài: 74cm; Chiều rộng: 112cm, Dài tay: 62cm_x000D_&lt;br&gt;Size M: Chiều dài: 78cm; Chiều rộng: 114cm, Dài tay: 68cm"}</v>
      </c>
      <c r="M5" s="2" t="str">
        <f t="shared" ref="M5:M68" si="2">IF(L6="","",",")</f>
        <v>,</v>
      </c>
      <c r="N5" t="str">
        <f t="shared" ref="N5:N8" si="3">_xlfn.CONCAT(L5,M5)</f>
        <v>{"no":"JK02","name":"CODY BLAZER","category":"Áo khoác","price":890000,"quantity":15,"discount":5,"images":" ","description":"Size S: Chiều dài: 74cm; Chiều rộng: 112cm, Dài tay: 62cm_x000D_&lt;br&gt;Size M: Chiều dài: 78cm; Chiều rộng: 114cm, Dài tay: 68cm"},</v>
      </c>
    </row>
    <row r="6" spans="1:18" ht="101.4" thickBot="1" x14ac:dyDescent="0.35">
      <c r="A6" s="8">
        <v>3</v>
      </c>
      <c r="B6" s="8" t="s">
        <v>21</v>
      </c>
      <c r="C6" s="8" t="s">
        <v>22</v>
      </c>
      <c r="D6" s="8" t="s">
        <v>6</v>
      </c>
      <c r="E6" s="9">
        <v>790000</v>
      </c>
      <c r="F6" s="8">
        <v>30</v>
      </c>
      <c r="G6" s="10">
        <v>0.2</v>
      </c>
      <c r="H6" s="8" t="s">
        <v>105</v>
      </c>
      <c r="I6" s="15" t="s">
        <v>108</v>
      </c>
      <c r="J6" s="8" t="s">
        <v>15</v>
      </c>
      <c r="K6" s="2" t="str">
        <f t="shared" si="0"/>
        <v>Size S: Chiều dài: 69cm; Chiều rộng: 120cm_x000D_&lt;br&gt;Size M: Chiều dài: 72cm; Chiều rộng: 122cm_x000D_&lt;br&gt;Size L: Chiều dài: 75cm; Chiều rộng: 124cm</v>
      </c>
      <c r="L6" s="3" t="str">
        <f t="shared" si="1"/>
        <v>{"no":"JK03","name":"METAL JACKET","category":"Áo khoác","price":790000,"quantity":30,"discount":20,"images":" ","description":"Size S: Chiều dài: 69cm; Chiều rộng: 120cm_x000D_&lt;br&gt;Size M: Chiều dài: 72cm; Chiều rộng: 122cm_x000D_&lt;br&gt;Size L: Chiều dài: 75cm; Chiều rộng: 124cm"}</v>
      </c>
      <c r="M6" s="2" t="str">
        <f t="shared" si="2"/>
        <v>,</v>
      </c>
      <c r="N6" t="str">
        <f t="shared" si="3"/>
        <v>{"no":"JK03","name":"METAL JACKET","category":"Áo khoác","price":790000,"quantity":30,"discount":20,"images":" ","description":"Size S: Chiều dài: 69cm; Chiều rộng: 120cm_x000D_&lt;br&gt;Size M: Chiều dài: 72cm; Chiều rộng: 122cm_x000D_&lt;br&gt;Size L: Chiều dài: 75cm; Chiều rộng: 124cm"},</v>
      </c>
    </row>
    <row r="7" spans="1:18" ht="135.6" thickBot="1" x14ac:dyDescent="0.35">
      <c r="A7" s="8">
        <v>4</v>
      </c>
      <c r="B7" s="8" t="s">
        <v>23</v>
      </c>
      <c r="C7" s="8" t="s">
        <v>24</v>
      </c>
      <c r="D7" s="8" t="s">
        <v>6</v>
      </c>
      <c r="E7" s="9">
        <v>790000</v>
      </c>
      <c r="F7" s="8">
        <v>12</v>
      </c>
      <c r="G7" s="10">
        <v>0</v>
      </c>
      <c r="H7" s="8" t="s">
        <v>105</v>
      </c>
      <c r="I7" s="15" t="s">
        <v>109</v>
      </c>
      <c r="J7" s="8" t="s">
        <v>15</v>
      </c>
      <c r="K7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7" s="3" t="str">
        <f t="shared" si="1"/>
        <v>{"no":"JK04","name":"TRACK JACKET BLACK","category":"Áo khoác","price":790000,"quantity":12,"discount":0,"images":" ","description":"Size S: Chiều dài: 65cm; Chiều rộng: 128cm; Dài tay: 64cm_x000D_&lt;br&gt;Size M: Chiều dài: 67cm; Chiều rộng: 132cm; Dài tay: 66cm_x000D_&lt;br&gt;Size L: Chiều dài: 69cm; Chiều rộng: 136cm; Dài tay: 68cm"}</v>
      </c>
      <c r="M7" s="2" t="str">
        <f t="shared" si="2"/>
        <v>,</v>
      </c>
      <c r="N7" t="str">
        <f t="shared" si="3"/>
        <v>{"no":"JK04","name":"TRACK JACKET BLACK","category":"Áo khoác","price":790000,"quantity":12,"discount":0,"images":" 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8" spans="1:18" ht="135.6" thickBot="1" x14ac:dyDescent="0.35">
      <c r="A8" s="8">
        <v>5</v>
      </c>
      <c r="B8" s="8" t="s">
        <v>25</v>
      </c>
      <c r="C8" s="8" t="s">
        <v>26</v>
      </c>
      <c r="D8" s="8" t="s">
        <v>6</v>
      </c>
      <c r="E8" s="9">
        <v>790000</v>
      </c>
      <c r="F8" s="8">
        <v>10</v>
      </c>
      <c r="G8" s="10">
        <v>0</v>
      </c>
      <c r="H8" s="8" t="s">
        <v>105</v>
      </c>
      <c r="I8" s="15" t="s">
        <v>109</v>
      </c>
      <c r="J8" s="8" t="s">
        <v>15</v>
      </c>
      <c r="K8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8" s="3" t="str">
        <f t="shared" si="1"/>
        <v>{"no":"JK05","name":"TRACK JACKET WHITE","category":"Áo khoác","price":790000,"quantity":10,"discount":0,"images":" ","description":"Size S: Chiều dài: 65cm; Chiều rộng: 128cm; Dài tay: 64cm_x000D_&lt;br&gt;Size M: Chiều dài: 67cm; Chiều rộng: 132cm; Dài tay: 66cm_x000D_&lt;br&gt;Size L: Chiều dài: 69cm; Chiều rộng: 136cm; Dài tay: 68cm"}</v>
      </c>
      <c r="M8" s="2" t="str">
        <f t="shared" si="2"/>
        <v>,</v>
      </c>
      <c r="N8" t="str">
        <f t="shared" si="3"/>
        <v>{"no":"JK05","name":"TRACK JACKET WHITE","category":"Áo khoác","price":790000,"quantity":10,"discount":0,"images":" 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9" spans="1:18" ht="135.6" thickBot="1" x14ac:dyDescent="0.35">
      <c r="A9" s="8">
        <v>6</v>
      </c>
      <c r="B9" s="8" t="s">
        <v>27</v>
      </c>
      <c r="C9" s="8" t="s">
        <v>28</v>
      </c>
      <c r="D9" s="8" t="s">
        <v>6</v>
      </c>
      <c r="E9" s="9">
        <v>820000</v>
      </c>
      <c r="F9" s="8">
        <v>50</v>
      </c>
      <c r="G9" s="10">
        <v>0</v>
      </c>
      <c r="H9" s="8" t="s">
        <v>105</v>
      </c>
      <c r="I9" s="15" t="s">
        <v>110</v>
      </c>
      <c r="J9" s="8" t="s">
        <v>15</v>
      </c>
      <c r="K9" s="2" t="str">
        <f t="shared" si="0"/>
        <v>Size S: Chiều dài: 67 cm; Chiều rộng: 118 cm; Dài tay: 69 cm_x000D_&lt;br&gt;Size M: Chiều dài: 68 cm; Chiều rộng: 122 cm; Dài tay: 70 cm_x000D_&lt;br&gt;Size L: Chiều dài: 69 cm; Chiều rộng: 126 cm; Dài tay: 71 cm</v>
      </c>
      <c r="L9" s="3" t="str">
        <f t="shared" si="1"/>
        <v>{"no":"JK06","name":"MILLI JACKET","category":"Áo khoác","price":820000,"quantity":50,"discount":0,"images":" ","description":"Size S: Chiều dài: 67 cm; Chiều rộng: 118 cm; Dài tay: 69 cm_x000D_&lt;br&gt;Size M: Chiều dài: 68 cm; Chiều rộng: 122 cm; Dài tay: 70 cm_x000D_&lt;br&gt;Size L: Chiều dài: 69 cm; Chiều rộng: 126 cm; Dài tay: 71 cm"}</v>
      </c>
      <c r="M9" s="2" t="str">
        <f t="shared" si="2"/>
        <v>,</v>
      </c>
      <c r="N9" t="str">
        <f t="shared" ref="N9:N72" si="4">_xlfn.CONCAT(L9,M9)</f>
        <v>{"no":"JK06","name":"MILLI JACKET","category":"Áo khoác","price":820000,"quantity":50,"discount":0,"images":" ","description":"Size S: Chiều dài: 67 cm; Chiều rộng: 118 cm; Dài tay: 69 cm_x000D_&lt;br&gt;Size M: Chiều dài: 68 cm; Chiều rộng: 122 cm; Dài tay: 70 cm_x000D_&lt;br&gt;Size L: Chiều dài: 69 cm; Chiều rộng: 126 cm; Dài tay: 71 cm"},</v>
      </c>
    </row>
    <row r="10" spans="1:18" ht="60.6" thickBot="1" x14ac:dyDescent="0.35">
      <c r="A10" s="8">
        <v>7</v>
      </c>
      <c r="B10" s="8" t="s">
        <v>29</v>
      </c>
      <c r="C10" s="8" t="s">
        <v>30</v>
      </c>
      <c r="D10" s="8" t="s">
        <v>6</v>
      </c>
      <c r="E10" s="9">
        <v>690000</v>
      </c>
      <c r="F10" s="8">
        <v>2</v>
      </c>
      <c r="G10" s="10">
        <v>0</v>
      </c>
      <c r="H10" s="8" t="s">
        <v>105</v>
      </c>
      <c r="I10" s="15" t="s">
        <v>111</v>
      </c>
      <c r="J10" s="8" t="s">
        <v>15</v>
      </c>
      <c r="K10" s="2" t="str">
        <f t="shared" si="0"/>
        <v>Size M: Chiều dài: 71 cm; Chiều rộng 120 cm&lt;br&gt;Size L: Chiều dài: 73 cm; Chiều rộng 124 cm</v>
      </c>
      <c r="L10" s="3" t="str">
        <f t="shared" si="1"/>
        <v>{"no":"JK07","name":"RACING HOODED JACKET","category":"Áo khoác","price":690000,"quantity":2,"discount":0,"images":" ","description":"Size M: Chiều dài: 71 cm; Chiều rộng 120 cm&lt;br&gt;Size L: Chiều dài: 73 cm; Chiều rộng 124 cm"}</v>
      </c>
      <c r="M10" s="2" t="str">
        <f t="shared" si="2"/>
        <v>,</v>
      </c>
      <c r="N10" t="str">
        <f t="shared" si="4"/>
        <v>{"no":"JK07","name":"RACING HOODED JACKET","category":"Áo khoác","price":690000,"quantity":2,"discount":0,"images":" ","description":"Size M: Chiều dài: 71 cm; Chiều rộng 120 cm&lt;br&gt;Size L: Chiều dài: 73 cm; Chiều rộng 124 cm"},</v>
      </c>
    </row>
    <row r="11" spans="1:18" ht="90.6" thickBot="1" x14ac:dyDescent="0.35">
      <c r="A11" s="8">
        <v>8</v>
      </c>
      <c r="B11" s="8" t="s">
        <v>31</v>
      </c>
      <c r="C11" s="8" t="s">
        <v>32</v>
      </c>
      <c r="D11" s="8" t="s">
        <v>6</v>
      </c>
      <c r="E11" s="9">
        <v>720000</v>
      </c>
      <c r="F11" s="8">
        <v>2</v>
      </c>
      <c r="G11" s="10">
        <v>0</v>
      </c>
      <c r="H11" s="8" t="s">
        <v>105</v>
      </c>
      <c r="I11" s="15" t="s">
        <v>112</v>
      </c>
      <c r="J11" s="8" t="s">
        <v>15</v>
      </c>
      <c r="K11" s="2" t="str">
        <f t="shared" si="0"/>
        <v>Size S: Chiều dài: 66cm; Chiều rộng: 56cm_x000D_&lt;br&gt;Size M: Chiều dài: 69cm; Chiều rộng: 58cm_x000D_&lt;br&gt;Size L: Chiều dài: 72cm; Chiều rộng: 60cm</v>
      </c>
      <c r="L11" s="3" t="str">
        <f t="shared" si="1"/>
        <v>{"no":"JK08","name":"POC POC VEST","category":"Áo khoác","price":720000,"quantity":2,"discount":0,"images":" ","description":"Size S: Chiều dài: 66cm; Chiều rộng: 56cm_x000D_&lt;br&gt;Size M: Chiều dài: 69cm; Chiều rộng: 58cm_x000D_&lt;br&gt;Size L: Chiều dài: 72cm; Chiều rộng: 60cm"}</v>
      </c>
      <c r="M11" s="2" t="str">
        <f t="shared" si="2"/>
        <v>,</v>
      </c>
      <c r="N11" t="str">
        <f t="shared" si="4"/>
        <v>{"no":"JK08","name":"POC POC VEST","category":"Áo khoác","price":720000,"quantity":2,"discount":0,"images":" ","description":"Size S: Chiều dài: 66cm; Chiều rộng: 56cm_x000D_&lt;br&gt;Size M: Chiều dài: 69cm; Chiều rộng: 58cm_x000D_&lt;br&gt;Size L: Chiều dài: 72cm; Chiều rộng: 60cm"},</v>
      </c>
    </row>
    <row r="12" spans="1:18" ht="101.4" thickBot="1" x14ac:dyDescent="0.35">
      <c r="A12" s="11">
        <v>9</v>
      </c>
      <c r="B12" s="11" t="s">
        <v>33</v>
      </c>
      <c r="C12" s="11" t="s">
        <v>34</v>
      </c>
      <c r="D12" s="11" t="s">
        <v>6</v>
      </c>
      <c r="E12" s="12">
        <v>780000</v>
      </c>
      <c r="F12" s="11">
        <v>10</v>
      </c>
      <c r="G12" s="10">
        <v>0</v>
      </c>
      <c r="H12" s="11"/>
      <c r="I12" s="16" t="s">
        <v>113</v>
      </c>
      <c r="J12" s="8" t="s">
        <v>15</v>
      </c>
      <c r="K12" s="2" t="str">
        <f t="shared" si="0"/>
        <v>Size S: Chiều dài: 60 cm; Chiều rộng: 106 cm_x000D_&lt;br&gt;Size M: Chiều dài: 63 cm; Chiều rộng: 110 cm_x000D_&lt;br&gt;Size L: Chiều dài: 66 cm; Chiều rộng: 114 cm</v>
      </c>
      <c r="L12" s="3" t="str">
        <f t="shared" si="1"/>
        <v>{"no":"JK09","name":"LEX VEST","category":"Áo khoác","price":780000,"quantity":10,"discount":0,"images":"","description":"Size S: Chiều dài: 60 cm; Chiều rộng: 106 cm_x000D_&lt;br&gt;Size M: Chiều dài: 63 cm; Chiều rộng: 110 cm_x000D_&lt;br&gt;Size L: Chiều dài: 66 cm; Chiều rộng: 114 cm"}</v>
      </c>
      <c r="M12" s="2" t="str">
        <f t="shared" si="2"/>
        <v>,</v>
      </c>
      <c r="N12" t="str">
        <f t="shared" si="4"/>
        <v>{"no":"JK09","name":"LEX VEST","category":"Áo khoác","price":780000,"quantity":10,"discount":0,"images":"","description":"Size S: Chiều dài: 60 cm; Chiều rộng: 106 cm_x000D_&lt;br&gt;Size M: Chiều dài: 63 cm; Chiều rộng: 110 cm_x000D_&lt;br&gt;Size L: Chiều dài: 66 cm; Chiều rộng: 114 cm"},</v>
      </c>
    </row>
    <row r="13" spans="1:18" ht="115.8" thickBot="1" x14ac:dyDescent="0.35">
      <c r="A13" s="11">
        <v>10</v>
      </c>
      <c r="B13" s="11" t="s">
        <v>35</v>
      </c>
      <c r="C13" s="11" t="s">
        <v>36</v>
      </c>
      <c r="D13" s="11" t="s">
        <v>6</v>
      </c>
      <c r="E13" s="12">
        <v>920000</v>
      </c>
      <c r="F13" s="11">
        <v>10</v>
      </c>
      <c r="G13" s="10">
        <v>0</v>
      </c>
      <c r="H13" s="11"/>
      <c r="I13" s="16" t="s">
        <v>114</v>
      </c>
      <c r="J13" s="8" t="s">
        <v>15</v>
      </c>
      <c r="K13" s="2" t="str">
        <f t="shared" si="0"/>
        <v>Size S: Chiều dài: 74cm; Chiều rộng: 112cm, Dài tay: 62cm_x000D_&lt;br&gt;Size M: Chiều dài: 78cm; Chiều rộng: 114cm, Dài tay: 68cm_x000D_&lt;br&gt;Size L: Chiều dài: 80cm; Chiều rộng: 116cm, Dài tay: 69cm</v>
      </c>
      <c r="L13" s="3" t="str">
        <f t="shared" si="1"/>
        <v>{"no":"JK10","name":"YOUTH BLAZER","category":"Áo khoác","price":920000,"quantity":10,"discount":0,"images":"","description":"Size S: Chiều dài: 74cm; Chiều rộng: 112cm, Dài tay: 62cm_x000D_&lt;br&gt;Size M: Chiều dài: 78cm; Chiều rộng: 114cm, Dài tay: 68cm_x000D_&lt;br&gt;Size L: Chiều dài: 80cm; Chiều rộng: 116cm, Dài tay: 69cm"}</v>
      </c>
      <c r="M13" s="2" t="str">
        <f t="shared" si="2"/>
        <v>,</v>
      </c>
      <c r="N13" t="str">
        <f t="shared" si="4"/>
        <v>{"no":"JK10","name":"YOUTH BLAZER","category":"Áo khoác","price":920000,"quantity":10,"discount":0,"images":"","description":"Size S: Chiều dài: 74cm; Chiều rộng: 112cm, Dài tay: 62cm_x000D_&lt;br&gt;Size M: Chiều dài: 78cm; Chiều rộng: 114cm, Dài tay: 68cm_x000D_&lt;br&gt;Size L: Chiều dài: 80cm; Chiều rộng: 116cm, Dài tay: 69cm"},</v>
      </c>
    </row>
    <row r="14" spans="1:18" ht="87" thickBot="1" x14ac:dyDescent="0.35">
      <c r="A14" s="11">
        <v>11</v>
      </c>
      <c r="B14" s="11" t="s">
        <v>37</v>
      </c>
      <c r="C14" s="11" t="s">
        <v>38</v>
      </c>
      <c r="D14" s="11" t="s">
        <v>39</v>
      </c>
      <c r="E14" s="12">
        <v>450000</v>
      </c>
      <c r="F14" s="11">
        <v>10</v>
      </c>
      <c r="G14" s="10">
        <v>0</v>
      </c>
      <c r="H14" s="11"/>
      <c r="I14" s="16" t="s">
        <v>115</v>
      </c>
      <c r="J14" s="8" t="s">
        <v>15</v>
      </c>
      <c r="K14" s="2" t="str">
        <f t="shared" si="0"/>
        <v xml:space="preserve">Size S: Chiều dài: 70cm; Chiều rộng: 120cm &lt;br&gt;Size M: Chiều dài: 72cm; Chiều rộng: 124cm &lt;br&gt;Size L: Chiều dài: 74cm; Chiều rộng: 128cm </v>
      </c>
      <c r="L14" s="3" t="str">
        <f t="shared" si="1"/>
        <v>{"no":"SH01","name":"LIDER 2020 DANTON","category":"Áo sơ mi","price":450000,"quantity":10,"discount":0,"images":"","description":"Size S: Chiều dài: 70cm; Chiều rộng: 120cm &lt;br&gt;Size M: Chiều dài: 72cm; Chiều rộng: 124cm &lt;br&gt;Size L: Chiều dài: 74cm; Chiều rộng: 128cm "}</v>
      </c>
      <c r="M14" s="2" t="str">
        <f t="shared" si="2"/>
        <v>,</v>
      </c>
      <c r="N14" t="str">
        <f t="shared" si="4"/>
        <v>{"no":"SH01","name":"LIDER 2020 DANTON","category":"Áo sơ mi","price":450000,"quantity":10,"discount":0,"images":"","description":"Size S: Chiều dài: 70cm; Chiều rộng: 120cm &lt;br&gt;Size M: Chiều dài: 72cm; Chiều rộng: 124cm &lt;br&gt;Size L: Chiều dài: 74cm; Chiều rộng: 128cm "},</v>
      </c>
    </row>
    <row r="15" spans="1:18" ht="87" thickBot="1" x14ac:dyDescent="0.35">
      <c r="A15" s="11">
        <v>12</v>
      </c>
      <c r="B15" s="11" t="s">
        <v>40</v>
      </c>
      <c r="C15" s="11" t="s">
        <v>41</v>
      </c>
      <c r="D15" s="11" t="s">
        <v>39</v>
      </c>
      <c r="E15" s="12">
        <v>450000</v>
      </c>
      <c r="F15" s="11">
        <v>10</v>
      </c>
      <c r="G15" s="10">
        <v>0</v>
      </c>
      <c r="H15" s="11"/>
      <c r="I15" s="16" t="s">
        <v>116</v>
      </c>
      <c r="J15" s="8" t="s">
        <v>15</v>
      </c>
      <c r="K15" s="2" t="str">
        <f t="shared" si="0"/>
        <v xml:space="preserve">Size S: Chiều dài: 70cm; Chiều rộng: 120cm _x000D_&lt;br&gt;Size M: Chiều dài: 72cm; Chiều rộng: 124cm _x000D_&lt;br&gt;Size L: Chiều dài: 74cm; Chiều rộng: 128cm </v>
      </c>
      <c r="L15" s="3" t="str">
        <f t="shared" si="1"/>
        <v>{"no":"SH02","name":"LDR DANTON","category":"Áo sơ mi","price":450000,"quantity":10,"discount":0,"images":"","description":"Size S: Chiều dài: 70cm; Chiều rộng: 120cm _x000D_&lt;br&gt;Size M: Chiều dài: 72cm; Chiều rộng: 124cm _x000D_&lt;br&gt;Size L: Chiều dài: 74cm; Chiều rộng: 128cm "}</v>
      </c>
      <c r="M15" s="2" t="str">
        <f t="shared" si="2"/>
        <v>,</v>
      </c>
      <c r="N15" t="str">
        <f t="shared" si="4"/>
        <v>{"no":"SH02","name":"LDR DANTON","category":"Áo sơ mi","price":450000,"quantity":10,"discount":0,"images":"","description":"Size S: Chiều dài: 70cm; Chiều rộng: 120cm _x000D_&lt;br&gt;Size M: Chiều dài: 72cm; Chiều rộng: 124cm _x000D_&lt;br&gt;Size L: Chiều dài: 74cm; Chiều rộng: 128cm "},</v>
      </c>
    </row>
    <row r="16" spans="1:18" ht="58.2" thickBot="1" x14ac:dyDescent="0.35">
      <c r="A16" s="11">
        <v>13</v>
      </c>
      <c r="B16" s="11" t="s">
        <v>42</v>
      </c>
      <c r="C16" s="11" t="s">
        <v>43</v>
      </c>
      <c r="D16" s="11" t="s">
        <v>39</v>
      </c>
      <c r="E16" s="12">
        <v>650000</v>
      </c>
      <c r="F16" s="11">
        <v>10</v>
      </c>
      <c r="G16" s="10">
        <v>0</v>
      </c>
      <c r="H16" s="11"/>
      <c r="I16" s="16" t="s">
        <v>117</v>
      </c>
      <c r="J16" s="8" t="s">
        <v>15</v>
      </c>
      <c r="K16" s="2" t="str">
        <f t="shared" si="0"/>
        <v xml:space="preserve">Size M: Chiều dài: 68cm; Chiều rộng: 140cm &lt;br&gt;Size L: Chiều dài: 70cm; Chiều rộng: 142cm </v>
      </c>
      <c r="L16" s="3" t="str">
        <f t="shared" si="1"/>
        <v>{"no":"SH03","name":"LAYER SHIRT","category":"Áo sơ mi","price":650000,"quantity":10,"discount":0,"images":"","description":"Size M: Chiều dài: 68cm; Chiều rộng: 140cm &lt;br&gt;Size L: Chiều dài: 70cm; Chiều rộng: 142cm "}</v>
      </c>
      <c r="M16" s="2" t="str">
        <f t="shared" si="2"/>
        <v>,</v>
      </c>
      <c r="N16" t="str">
        <f t="shared" si="4"/>
        <v>{"no":"SH03","name":"LAYER SHIRT","category":"Áo sơ mi","price":650000,"quantity":10,"discount":0,"images":"","description":"Size M: Chiều dài: 68cm; Chiều rộng: 140cm &lt;br&gt;Size L: Chiều dài: 70cm; Chiều rộng: 142cm "},</v>
      </c>
    </row>
    <row r="17" spans="1:14" ht="87" thickBot="1" x14ac:dyDescent="0.35">
      <c r="A17" s="11">
        <v>14</v>
      </c>
      <c r="B17" s="11" t="s">
        <v>44</v>
      </c>
      <c r="C17" s="11" t="s">
        <v>45</v>
      </c>
      <c r="D17" s="11" t="s">
        <v>39</v>
      </c>
      <c r="E17" s="12">
        <v>520000</v>
      </c>
      <c r="F17" s="11">
        <v>10</v>
      </c>
      <c r="G17" s="10">
        <v>0</v>
      </c>
      <c r="H17" s="11"/>
      <c r="I17" s="16" t="s">
        <v>118</v>
      </c>
      <c r="J17" s="8" t="s">
        <v>15</v>
      </c>
      <c r="K17" s="2" t="str">
        <f t="shared" si="0"/>
        <v>Size S: Chiều dài: 75cm; Chiều rộng: 65cm_x000D_&lt;br&gt;Size M: Chiều dài: 77cm; Chiều rộng: 66cm_x000D_&lt;br&gt;Size L: Chiều dài: 79cm; Chiều rộng: 67cm</v>
      </c>
      <c r="L17" s="3" t="str">
        <f t="shared" si="1"/>
        <v>{"no":"SH04","name":"RTG SHIRT GREY","category":"Áo sơ mi","price":520000,"quantity":10,"discount":0,"images":"","description":"Size S: Chiều dài: 75cm; Chiều rộng: 65cm_x000D_&lt;br&gt;Size M: Chiều dài: 77cm; Chiều rộng: 66cm_x000D_&lt;br&gt;Size L: Chiều dài: 79cm; Chiều rộng: 67cm"}</v>
      </c>
      <c r="M17" s="2" t="str">
        <f t="shared" si="2"/>
        <v>,</v>
      </c>
      <c r="N17" t="str">
        <f t="shared" si="4"/>
        <v>{"no":"SH04","name":"RTG SHIRT GREY","category":"Áo sơ mi","price":520000,"quantity":10,"discount":0,"images":"","description":"Size S: Chiều dài: 75cm; Chiều rộng: 65cm_x000D_&lt;br&gt;Size M: Chiều dài: 77cm; Chiều rộng: 66cm_x000D_&lt;br&gt;Size L: Chiều dài: 79cm; Chiều rộng: 67cm"},</v>
      </c>
    </row>
    <row r="18" spans="1:14" ht="87" thickBot="1" x14ac:dyDescent="0.35">
      <c r="A18" s="11">
        <v>15</v>
      </c>
      <c r="B18" s="11" t="s">
        <v>46</v>
      </c>
      <c r="C18" s="11" t="s">
        <v>47</v>
      </c>
      <c r="D18" s="11" t="s">
        <v>39</v>
      </c>
      <c r="E18" s="12">
        <v>520000</v>
      </c>
      <c r="F18" s="11">
        <v>10</v>
      </c>
      <c r="G18" s="10">
        <v>0</v>
      </c>
      <c r="H18" s="11"/>
      <c r="I18" s="16" t="s">
        <v>118</v>
      </c>
      <c r="J18" s="8" t="s">
        <v>15</v>
      </c>
      <c r="K18" s="2" t="str">
        <f t="shared" si="0"/>
        <v>Size S: Chiều dài: 75cm; Chiều rộng: 65cm_x000D_&lt;br&gt;Size M: Chiều dài: 77cm; Chiều rộng: 66cm_x000D_&lt;br&gt;Size L: Chiều dài: 79cm; Chiều rộng: 67cm</v>
      </c>
      <c r="L18" s="3" t="str">
        <f t="shared" si="1"/>
        <v>{"no":"SH05","name":"RTG SHIRT RED","category":"Áo sơ mi","price":520000,"quantity":10,"discount":0,"images":"","description":"Size S: Chiều dài: 75cm; Chiều rộng: 65cm_x000D_&lt;br&gt;Size M: Chiều dài: 77cm; Chiều rộng: 66cm_x000D_&lt;br&gt;Size L: Chiều dài: 79cm; Chiều rộng: 67cm"}</v>
      </c>
      <c r="M18" s="2" t="str">
        <f t="shared" si="2"/>
        <v>,</v>
      </c>
      <c r="N18" t="str">
        <f t="shared" si="4"/>
        <v>{"no":"SH05","name":"RTG SHIRT RED","category":"Áo sơ mi","price":520000,"quantity":10,"discount":0,"images":"","description":"Size S: Chiều dài: 75cm; Chiều rộng: 65cm_x000D_&lt;br&gt;Size M: Chiều dài: 77cm; Chiều rộng: 66cm_x000D_&lt;br&gt;Size L: Chiều dài: 79cm; Chiều rộng: 67cm"},</v>
      </c>
    </row>
    <row r="19" spans="1:14" ht="58.2" thickBot="1" x14ac:dyDescent="0.35">
      <c r="A19" s="11">
        <v>16</v>
      </c>
      <c r="B19" s="11" t="s">
        <v>48</v>
      </c>
      <c r="C19" s="11" t="s">
        <v>49</v>
      </c>
      <c r="D19" s="11" t="s">
        <v>39</v>
      </c>
      <c r="E19" s="12">
        <v>490000</v>
      </c>
      <c r="F19" s="11">
        <v>10</v>
      </c>
      <c r="G19" s="10">
        <v>0</v>
      </c>
      <c r="H19" s="11"/>
      <c r="I19" s="16" t="s">
        <v>119</v>
      </c>
      <c r="J19" s="8" t="s">
        <v>15</v>
      </c>
      <c r="K19" s="2" t="str">
        <f t="shared" si="0"/>
        <v xml:space="preserve">Size M: Chiều dài: 68cm; Chiều rộng: 140cm _x000D_&lt;br&gt;Size L: Chiều dài: 70cm; Chiều rộng: 142cm </v>
      </c>
      <c r="L19" s="3" t="str">
        <f t="shared" si="1"/>
        <v>{"no":"SH06","name":"LIDER 2020 SHIRT","category":"Áo sơ mi","price":490000,"quantity":10,"discount":0,"images":"","description":"Size M: Chiều dài: 68cm; Chiều rộng: 140cm _x000D_&lt;br&gt;Size L: Chiều dài: 70cm; Chiều rộng: 142cm "}</v>
      </c>
      <c r="M19" s="2" t="str">
        <f t="shared" si="2"/>
        <v>,</v>
      </c>
      <c r="N19" t="str">
        <f t="shared" si="4"/>
        <v>{"no":"SH06","name":"LIDER 2020 SHIRT","category":"Áo sơ mi","price":490000,"quantity":10,"discount":0,"images":"","description":"Size M: Chiều dài: 68cm; Chiều rộng: 140cm _x000D_&lt;br&gt;Size L: Chiều dài: 70cm; Chiều rộng: 142cm "},</v>
      </c>
    </row>
    <row r="20" spans="1:14" ht="58.2" thickBot="1" x14ac:dyDescent="0.35">
      <c r="A20" s="11">
        <v>17</v>
      </c>
      <c r="B20" s="11" t="s">
        <v>50</v>
      </c>
      <c r="C20" s="11" t="s">
        <v>51</v>
      </c>
      <c r="D20" s="11" t="s">
        <v>39</v>
      </c>
      <c r="E20" s="12">
        <v>620000</v>
      </c>
      <c r="F20" s="11">
        <v>10</v>
      </c>
      <c r="G20" s="10">
        <v>0</v>
      </c>
      <c r="H20" s="11"/>
      <c r="I20" s="16" t="s">
        <v>119</v>
      </c>
      <c r="J20" s="8" t="s">
        <v>15</v>
      </c>
      <c r="K20" s="2" t="str">
        <f t="shared" si="0"/>
        <v xml:space="preserve">Size M: Chiều dài: 68cm; Chiều rộng: 140cm _x000D_&lt;br&gt;Size L: Chiều dài: 70cm; Chiều rộng: 142cm </v>
      </c>
      <c r="L20" s="3" t="str">
        <f t="shared" si="1"/>
        <v>{"no":"SH07","name":"FLORES SHIRT BLACK","category":"Áo sơ mi","price":620000,"quantity":10,"discount":0,"images":"","description":"Size M: Chiều dài: 68cm; Chiều rộng: 140cm _x000D_&lt;br&gt;Size L: Chiều dài: 70cm; Chiều rộng: 142cm "}</v>
      </c>
      <c r="M20" s="2" t="str">
        <f t="shared" si="2"/>
        <v>,</v>
      </c>
      <c r="N20" t="str">
        <f t="shared" si="4"/>
        <v>{"no":"SH07","name":"FLORES SHIRT BLACK","category":"Áo sơ mi","price":620000,"quantity":10,"discount":0,"images":"","description":"Size M: Chiều dài: 68cm; Chiều rộng: 140cm _x000D_&lt;br&gt;Size L: Chiều dài: 70cm; Chiều rộng: 142cm "},</v>
      </c>
    </row>
    <row r="21" spans="1:14" ht="58.2" thickBot="1" x14ac:dyDescent="0.35">
      <c r="A21" s="11">
        <v>18</v>
      </c>
      <c r="B21" s="11" t="s">
        <v>52</v>
      </c>
      <c r="C21" s="11" t="s">
        <v>53</v>
      </c>
      <c r="D21" s="11" t="s">
        <v>39</v>
      </c>
      <c r="E21" s="12">
        <v>620000</v>
      </c>
      <c r="F21" s="11">
        <v>10</v>
      </c>
      <c r="G21" s="10">
        <v>0</v>
      </c>
      <c r="H21" s="11"/>
      <c r="I21" s="16" t="s">
        <v>119</v>
      </c>
      <c r="J21" s="8" t="s">
        <v>15</v>
      </c>
      <c r="K21" s="2" t="str">
        <f t="shared" si="0"/>
        <v xml:space="preserve">Size M: Chiều dài: 68cm; Chiều rộng: 140cm _x000D_&lt;br&gt;Size L: Chiều dài: 70cm; Chiều rộng: 142cm </v>
      </c>
      <c r="L21" s="3" t="str">
        <f t="shared" si="1"/>
        <v>{"no":"SH08","name":"FLORES SHIRT BLUE","category":"Áo sơ mi","price":620000,"quantity":10,"discount":0,"images":"","description":"Size M: Chiều dài: 68cm; Chiều rộng: 140cm _x000D_&lt;br&gt;Size L: Chiều dài: 70cm; Chiều rộng: 142cm "}</v>
      </c>
      <c r="M21" s="2" t="str">
        <f t="shared" si="2"/>
        <v>,</v>
      </c>
      <c r="N21" t="str">
        <f t="shared" si="4"/>
        <v>{"no":"SH08","name":"FLORES SHIRT BLUE","category":"Áo sơ mi","price":620000,"quantity":10,"discount":0,"images":"","description":"Size M: Chiều dài: 68cm; Chiều rộng: 140cm _x000D_&lt;br&gt;Size L: Chiều dài: 70cm; Chiều rộng: 142cm "},</v>
      </c>
    </row>
    <row r="22" spans="1:14" ht="58.2" thickBot="1" x14ac:dyDescent="0.35">
      <c r="A22" s="11">
        <v>19</v>
      </c>
      <c r="B22" s="11" t="s">
        <v>54</v>
      </c>
      <c r="C22" s="11" t="s">
        <v>55</v>
      </c>
      <c r="D22" s="11" t="s">
        <v>39</v>
      </c>
      <c r="E22" s="12">
        <v>590000</v>
      </c>
      <c r="F22" s="11">
        <v>10</v>
      </c>
      <c r="G22" s="10">
        <v>0</v>
      </c>
      <c r="H22" s="11"/>
      <c r="I22" s="16" t="s">
        <v>119</v>
      </c>
      <c r="J22" s="8" t="s">
        <v>15</v>
      </c>
      <c r="K22" s="2" t="str">
        <f t="shared" si="0"/>
        <v xml:space="preserve">Size M: Chiều dài: 68cm; Chiều rộng: 140cm _x000D_&lt;br&gt;Size L: Chiều dài: 70cm; Chiều rộng: 142cm </v>
      </c>
      <c r="L22" s="3" t="str">
        <f t="shared" si="1"/>
        <v>{"no":"SH09","name":"FLORES SHIRT WHITE","category":"Áo sơ mi","price":590000,"quantity":10,"discount":0,"images":"","description":"Size M: Chiều dài: 68cm; Chiều rộng: 140cm _x000D_&lt;br&gt;Size L: Chiều dài: 70cm; Chiều rộng: 142cm "}</v>
      </c>
      <c r="M22" s="2" t="str">
        <f t="shared" si="2"/>
        <v>,</v>
      </c>
      <c r="N22" t="str">
        <f t="shared" si="4"/>
        <v>{"no":"SH09","name":"FLORES SHIRT WHITE","category":"Áo sơ mi","price":590000,"quantity":10,"discount":0,"images":"","description":"Size M: Chiều dài: 68cm; Chiều rộng: 140cm _x000D_&lt;br&gt;Size L: Chiều dài: 70cm; Chiều rộng: 142cm "},</v>
      </c>
    </row>
    <row r="23" spans="1:14" ht="87" thickBot="1" x14ac:dyDescent="0.35">
      <c r="A23" s="11">
        <v>20</v>
      </c>
      <c r="B23" s="11" t="s">
        <v>56</v>
      </c>
      <c r="C23" s="11" t="s">
        <v>57</v>
      </c>
      <c r="D23" s="11" t="s">
        <v>39</v>
      </c>
      <c r="E23" s="12">
        <v>420000</v>
      </c>
      <c r="F23" s="11">
        <v>10</v>
      </c>
      <c r="G23" s="10">
        <v>0</v>
      </c>
      <c r="H23" s="11"/>
      <c r="I23" s="16" t="s">
        <v>120</v>
      </c>
      <c r="J23" s="8" t="s">
        <v>15</v>
      </c>
      <c r="K23" s="2" t="str">
        <f t="shared" si="0"/>
        <v xml:space="preserve">Size S: Chiều dài: 73cm; Chiều rộng: 106cm _x000D_&lt;br&gt;Size M: Chiều dài: 75cm; Chiều rộng: 109cm _x000D_&lt;br&gt;Size L: Chiều dài: 77cm; Chiều rộng: 112cm </v>
      </c>
      <c r="L23" s="3" t="str">
        <f t="shared" si="1"/>
        <v>{"no":"SH10","name":"PIZZA DANTON","category":"Áo sơ mi","price":420000,"quantity":10,"discount":0,"images":"","description":"Size S: Chiều dài: 73cm; Chiều rộng: 106cm _x000D_&lt;br&gt;Size M: Chiều dài: 75cm; Chiều rộng: 109cm _x000D_&lt;br&gt;Size L: Chiều dài: 77cm; Chiều rộng: 112cm "}</v>
      </c>
      <c r="M23" s="2" t="str">
        <f t="shared" si="2"/>
        <v>,</v>
      </c>
      <c r="N23" t="str">
        <f t="shared" si="4"/>
        <v>{"no":"SH10","name":"PIZZA DANTON","category":"Áo sơ mi","price":420000,"quantity":10,"discount":0,"images":"","description":"Size S: Chiều dài: 73cm; Chiều rộng: 106cm _x000D_&lt;br&gt;Size M: Chiều dài: 75cm; Chiều rộng: 109cm _x000D_&lt;br&gt;Size L: Chiều dài: 77cm; Chiều rộng: 112cm "},</v>
      </c>
    </row>
    <row r="24" spans="1:14" ht="101.4" thickBot="1" x14ac:dyDescent="0.35">
      <c r="A24" s="11">
        <v>21</v>
      </c>
      <c r="B24" s="11" t="s">
        <v>58</v>
      </c>
      <c r="C24" s="11" t="s">
        <v>59</v>
      </c>
      <c r="D24" s="11" t="s">
        <v>60</v>
      </c>
      <c r="E24" s="12">
        <v>360000</v>
      </c>
      <c r="F24" s="11">
        <v>10</v>
      </c>
      <c r="G24" s="10">
        <v>0</v>
      </c>
      <c r="H24" s="11"/>
      <c r="I24" s="16" t="s">
        <v>121</v>
      </c>
      <c r="J24" s="8" t="s">
        <v>15</v>
      </c>
      <c r="K24" s="2" t="str">
        <f t="shared" si="0"/>
        <v>Size S: Chiều dài: 72cm; Chiều rộng: 108cm_x000D_&lt;br&gt;Size M: Chiều dài: 73cm; Chiều rộng: 109cm_x000D_&lt;br&gt;Size L: Chiều dài: 74cm; Chiều rộng: 110cm</v>
      </c>
      <c r="L24" s="3" t="str">
        <f t="shared" si="1"/>
        <v>{"no":"TS01","name":"LIDER 2020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24" s="2" t="str">
        <f t="shared" si="2"/>
        <v>,</v>
      </c>
      <c r="N24" t="str">
        <f t="shared" si="4"/>
        <v>{"no":"TS01","name":"LIDER 2020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25" spans="1:14" ht="101.4" thickBot="1" x14ac:dyDescent="0.35">
      <c r="A25" s="11">
        <v>22</v>
      </c>
      <c r="B25" s="11" t="s">
        <v>61</v>
      </c>
      <c r="C25" s="11" t="s">
        <v>62</v>
      </c>
      <c r="D25" s="11" t="s">
        <v>60</v>
      </c>
      <c r="E25" s="12">
        <v>360000</v>
      </c>
      <c r="F25" s="11">
        <v>10</v>
      </c>
      <c r="G25" s="10">
        <v>0</v>
      </c>
      <c r="H25" s="11"/>
      <c r="I25" s="16" t="s">
        <v>121</v>
      </c>
      <c r="J25" s="8" t="s">
        <v>15</v>
      </c>
      <c r="K25" s="2" t="str">
        <f t="shared" si="0"/>
        <v>Size S: Chiều dài: 72cm; Chiều rộng: 108cm_x000D_&lt;br&gt;Size M: Chiều dài: 73cm; Chiều rộng: 109cm_x000D_&lt;br&gt;Size L: Chiều dài: 74cm; Chiều rộng: 110cm</v>
      </c>
      <c r="L25" s="3" t="str">
        <f t="shared" si="1"/>
        <v>{"no":"TS02","name":"LIDER 2020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25" s="2" t="str">
        <f t="shared" si="2"/>
        <v>,</v>
      </c>
      <c r="N25" t="str">
        <f t="shared" si="4"/>
        <v>{"no":"TS02","name":"LIDER 2020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26" spans="1:14" ht="101.4" thickBot="1" x14ac:dyDescent="0.35">
      <c r="A26" s="11">
        <v>23</v>
      </c>
      <c r="B26" s="11" t="s">
        <v>63</v>
      </c>
      <c r="C26" s="11" t="s">
        <v>64</v>
      </c>
      <c r="D26" s="11" t="s">
        <v>60</v>
      </c>
      <c r="E26" s="12">
        <v>360000</v>
      </c>
      <c r="F26" s="11">
        <v>10</v>
      </c>
      <c r="G26" s="10">
        <v>0</v>
      </c>
      <c r="H26" s="11"/>
      <c r="I26" s="16" t="s">
        <v>122</v>
      </c>
      <c r="J26" s="8" t="s">
        <v>15</v>
      </c>
      <c r="K26" s="2" t="str">
        <f t="shared" si="0"/>
        <v>Size S: Chiều dài: 72cm; Chiều rộng 108cm_x000D_&lt;br&gt;Size M: Chiều dài: 73cm; Chiều rộng: 109cm_x000D_&lt;br&gt;Size L: Chiều dài: 74cm; Chiều rộng: 110cm</v>
      </c>
      <c r="L26" s="3" t="str">
        <f t="shared" si="1"/>
        <v>{"no":"TS03","name":"RACING FIVE TEE","category":"Áo phông","price":360000,"quantity":10,"discount":0,"images":"","description":"Size S: Chiều dài: 72cm; Chiều rộng 108cm_x000D_&lt;br&gt;Size M: Chiều dài: 73cm; Chiều rộng: 109cm_x000D_&lt;br&gt;Size L: Chiều dài: 74cm; Chiều rộng: 110cm"}</v>
      </c>
      <c r="M26" s="2" t="str">
        <f t="shared" si="2"/>
        <v>,</v>
      </c>
      <c r="N26" t="str">
        <f t="shared" si="4"/>
        <v>{"no":"TS03","name":"RACING FIVE TEE","category":"Áo phông","price":360000,"quantity":10,"discount":0,"images":"","description":"Size S: Chiều dài: 72cm; Chiều rộng 108cm_x000D_&lt;br&gt;Size M: Chiều dài: 73cm; Chiều rộng: 109cm_x000D_&lt;br&gt;Size L: Chiều dài: 74cm; Chiều rộng: 110cm"},</v>
      </c>
    </row>
    <row r="27" spans="1:14" ht="101.4" thickBot="1" x14ac:dyDescent="0.35">
      <c r="A27" s="11">
        <v>24</v>
      </c>
      <c r="B27" s="11" t="s">
        <v>65</v>
      </c>
      <c r="C27" s="11" t="s">
        <v>66</v>
      </c>
      <c r="D27" s="11" t="s">
        <v>60</v>
      </c>
      <c r="E27" s="12">
        <v>380000</v>
      </c>
      <c r="F27" s="11">
        <v>10</v>
      </c>
      <c r="G27" s="10">
        <v>0</v>
      </c>
      <c r="H27" s="11"/>
      <c r="I27" s="16" t="s">
        <v>123</v>
      </c>
      <c r="J27" s="8" t="s">
        <v>15</v>
      </c>
      <c r="K27" s="2" t="str">
        <f t="shared" si="0"/>
        <v>Size S Chiều dài 72cm Chiều rộng 114cm_x000D_&lt;br&gt;Size M Chiều dài 75cm Chiều rộng 117cm_x000D_&lt;br&gt;Size L Chiều dài 77cm Chiều rộng 120cm</v>
      </c>
      <c r="L27" s="3" t="str">
        <f t="shared" si="1"/>
        <v>{"no":"TS04","name":"OVAL TEE WHITE","category":"Áo phông","price":380000,"quantity":10,"discount":0,"images":"","description":"Size S Chiều dài 72cm Chiều rộng 114cm_x000D_&lt;br&gt;Size M Chiều dài 75cm Chiều rộng 117cm_x000D_&lt;br&gt;Size L Chiều dài 77cm Chiều rộng 120cm"}</v>
      </c>
      <c r="M27" s="2" t="str">
        <f t="shared" si="2"/>
        <v>,</v>
      </c>
      <c r="N27" t="str">
        <f t="shared" si="4"/>
        <v>{"no":"TS04","name":"OVAL TEE WHITE","category":"Áo phông","price":380000,"quantity":10,"discount":0,"images":"","description":"Size S Chiều dài 72cm Chiều rộng 114cm_x000D_&lt;br&gt;Size M Chiều dài 75cm Chiều rộng 117cm_x000D_&lt;br&gt;Size L Chiều dài 77cm Chiều rộng 120cm"},</v>
      </c>
    </row>
    <row r="28" spans="1:14" ht="101.4" thickBot="1" x14ac:dyDescent="0.35">
      <c r="A28" s="11">
        <v>25</v>
      </c>
      <c r="B28" s="11" t="s">
        <v>67</v>
      </c>
      <c r="C28" s="11" t="s">
        <v>68</v>
      </c>
      <c r="D28" s="11" t="s">
        <v>60</v>
      </c>
      <c r="E28" s="12">
        <v>380000</v>
      </c>
      <c r="F28" s="11">
        <v>10</v>
      </c>
      <c r="G28" s="10">
        <v>0</v>
      </c>
      <c r="H28" s="11"/>
      <c r="I28" s="16" t="s">
        <v>124</v>
      </c>
      <c r="J28" s="8" t="s">
        <v>15</v>
      </c>
      <c r="K28" s="2" t="str">
        <f t="shared" si="0"/>
        <v>Size S: Chiều dài: 72cm; Chiều rộng: 114cm_x000D_&lt;br&gt;Size M: Chiều dài: 75cm; Chiều rộng: 117cm_x000D_&lt;br&gt;Size L: Chiều dài: 77cm; Chiều rộng: 120cm</v>
      </c>
      <c r="L28" s="3" t="str">
        <f t="shared" si="1"/>
        <v>{"no":"TS05","name":"OVAL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</v>
      </c>
      <c r="M28" s="2" t="str">
        <f t="shared" si="2"/>
        <v>,</v>
      </c>
      <c r="N28" t="str">
        <f t="shared" si="4"/>
        <v>{"no":"TS05","name":"OVAL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120cm"},</v>
      </c>
    </row>
    <row r="29" spans="1:14" ht="101.4" thickBot="1" x14ac:dyDescent="0.35">
      <c r="A29" s="11">
        <v>26</v>
      </c>
      <c r="B29" s="11" t="s">
        <v>69</v>
      </c>
      <c r="C29" s="11" t="s">
        <v>70</v>
      </c>
      <c r="D29" s="11" t="s">
        <v>60</v>
      </c>
      <c r="E29" s="12">
        <v>360000</v>
      </c>
      <c r="F29" s="11">
        <v>10</v>
      </c>
      <c r="G29" s="10">
        <v>0</v>
      </c>
      <c r="H29" s="11"/>
      <c r="I29" s="16" t="s">
        <v>121</v>
      </c>
      <c r="J29" s="8" t="s">
        <v>15</v>
      </c>
      <c r="K29" s="2" t="str">
        <f t="shared" si="0"/>
        <v>Size S: Chiều dài: 72cm; Chiều rộng: 108cm_x000D_&lt;br&gt;Size M: Chiều dài: 73cm; Chiều rộng: 109cm_x000D_&lt;br&gt;Size L: Chiều dài: 74cm; Chiều rộng: 110cm</v>
      </c>
      <c r="L29" s="3" t="str">
        <f t="shared" si="1"/>
        <v>{"no":"TS06","name":"LIDER 5TH TEE","category":"Áo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29" s="2" t="str">
        <f t="shared" si="2"/>
        <v>,</v>
      </c>
      <c r="N29" t="str">
        <f t="shared" si="4"/>
        <v>{"no":"TS06","name":"LIDER 5TH TEE","category":"Áo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0" spans="1:14" ht="101.4" thickBot="1" x14ac:dyDescent="0.35">
      <c r="A30" s="11">
        <v>27</v>
      </c>
      <c r="B30" s="11" t="s">
        <v>71</v>
      </c>
      <c r="C30" s="11" t="s">
        <v>72</v>
      </c>
      <c r="D30" s="11" t="s">
        <v>60</v>
      </c>
      <c r="E30" s="12">
        <v>390000</v>
      </c>
      <c r="F30" s="11">
        <v>10</v>
      </c>
      <c r="G30" s="10">
        <v>0</v>
      </c>
      <c r="H30" s="11"/>
      <c r="I30" s="16" t="s">
        <v>121</v>
      </c>
      <c r="J30" s="8" t="s">
        <v>15</v>
      </c>
      <c r="K30" s="2" t="str">
        <f t="shared" si="0"/>
        <v>Size S: Chiều dài: 72cm; Chiều rộng: 108cm_x000D_&lt;br&gt;Size M: Chiều dài: 73cm; Chiều rộng: 109cm_x000D_&lt;br&gt;Size L: Chiều dài: 74cm; Chiều rộng: 110cm</v>
      </c>
      <c r="L30" s="3" t="str">
        <f t="shared" si="1"/>
        <v>{"no":"TS07","name":"RACING CAR TEE RED","category":"Áo phông","price":390000,"quantity":10,"discount":0,"images":"","description":"Size S: Chiều dài: 72cm; Chiều rộng: 108cm_x000D_&lt;br&gt;Size M: Chiều dài: 73cm; Chiều rộng: 109cm_x000D_&lt;br&gt;Size L: Chiều dài: 74cm; Chiều rộng: 110cm"}</v>
      </c>
      <c r="M30" s="2" t="str">
        <f t="shared" si="2"/>
        <v>,</v>
      </c>
      <c r="N30" t="str">
        <f t="shared" si="4"/>
        <v>{"no":"TS07","name":"RACING CAR TEE RED","category":"Áo phông","price":390000,"quantity":10,"discount":0,"images":"","description":"Size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1" spans="1:14" ht="101.4" thickBot="1" x14ac:dyDescent="0.35">
      <c r="A31" s="11">
        <v>28</v>
      </c>
      <c r="B31" s="11" t="s">
        <v>73</v>
      </c>
      <c r="C31" s="11" t="s">
        <v>74</v>
      </c>
      <c r="D31" s="11" t="s">
        <v>60</v>
      </c>
      <c r="E31" s="12">
        <v>360000</v>
      </c>
      <c r="F31" s="11">
        <v>10</v>
      </c>
      <c r="G31" s="10">
        <v>0</v>
      </c>
      <c r="H31" s="11"/>
      <c r="I31" s="16" t="s">
        <v>121</v>
      </c>
      <c r="J31" s="8" t="s">
        <v>15</v>
      </c>
      <c r="K31" s="2" t="str">
        <f t="shared" si="0"/>
        <v>Size S: Chiều dài: 72cm; Chiều rộng: 108cm_x000D_&lt;br&gt;Size M: Chiều dài: 73cm; Chiều rộng: 109cm_x000D_&lt;br&gt;Size L: Chiều dài: 74cm; Chiều rộng: 110cm</v>
      </c>
      <c r="L31" s="3" t="str">
        <f t="shared" si="1"/>
        <v>{"no":"TS08","name":"ROD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1" s="2" t="str">
        <f t="shared" si="2"/>
        <v>,</v>
      </c>
      <c r="N31" t="str">
        <f t="shared" si="4"/>
        <v>{"no":"TS08","name":"ROD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2" spans="1:14" ht="101.4" thickBot="1" x14ac:dyDescent="0.35">
      <c r="A32" s="11">
        <v>29</v>
      </c>
      <c r="B32" s="11" t="s">
        <v>75</v>
      </c>
      <c r="C32" s="11" t="s">
        <v>76</v>
      </c>
      <c r="D32" s="11" t="s">
        <v>60</v>
      </c>
      <c r="E32" s="12">
        <v>360000</v>
      </c>
      <c r="F32" s="11">
        <v>10</v>
      </c>
      <c r="G32" s="10">
        <v>0</v>
      </c>
      <c r="H32" s="11"/>
      <c r="I32" s="16" t="s">
        <v>121</v>
      </c>
      <c r="J32" s="8" t="s">
        <v>15</v>
      </c>
      <c r="K32" s="2" t="str">
        <f t="shared" si="0"/>
        <v>Size S: Chiều dài: 72cm; Chiều rộng: 108cm_x000D_&lt;br&gt;Size M: Chiều dài: 73cm; Chiều rộng: 109cm_x000D_&lt;br&gt;Size L: Chiều dài: 74cm; Chiều rộng: 110cm</v>
      </c>
      <c r="L32" s="3" t="str">
        <f t="shared" si="1"/>
        <v>{"no":"TS09","name":"JAN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2" s="2" t="str">
        <f t="shared" si="2"/>
        <v>,</v>
      </c>
      <c r="N32" t="str">
        <f t="shared" si="4"/>
        <v>{"no":"TS09","name":"JAN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3" spans="1:14" ht="101.4" thickBot="1" x14ac:dyDescent="0.35">
      <c r="A33" s="11">
        <v>30</v>
      </c>
      <c r="B33" s="11" t="s">
        <v>77</v>
      </c>
      <c r="C33" s="11" t="s">
        <v>78</v>
      </c>
      <c r="D33" s="11" t="s">
        <v>60</v>
      </c>
      <c r="E33" s="12">
        <v>360000</v>
      </c>
      <c r="F33" s="11">
        <v>10</v>
      </c>
      <c r="G33" s="10">
        <v>0</v>
      </c>
      <c r="H33" s="11"/>
      <c r="I33" s="16" t="s">
        <v>121</v>
      </c>
      <c r="J33" s="8" t="s">
        <v>15</v>
      </c>
      <c r="K33" s="2" t="str">
        <f t="shared" si="0"/>
        <v>Size S: Chiều dài: 72cm; Chiều rộng: 108cm_x000D_&lt;br&gt;Size M: Chiều dài: 73cm; Chiều rộng: 109cm_x000D_&lt;br&gt;Size L: Chiều dài: 74cm; Chiều rộng: 110cm</v>
      </c>
      <c r="L33" s="3" t="str">
        <f t="shared" si="1"/>
        <v>{"no":"TS10","name":"JAN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3" s="2" t="str">
        <f t="shared" si="2"/>
        <v>,</v>
      </c>
      <c r="N33" t="str">
        <f t="shared" si="4"/>
        <v>{"no":"TS10","name":"JAN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4" spans="1:14" ht="101.4" thickBot="1" x14ac:dyDescent="0.35">
      <c r="A34" s="11">
        <v>31</v>
      </c>
      <c r="B34" s="11" t="s">
        <v>79</v>
      </c>
      <c r="C34" s="11" t="s">
        <v>80</v>
      </c>
      <c r="D34" s="11" t="s">
        <v>60</v>
      </c>
      <c r="E34" s="12">
        <v>390000</v>
      </c>
      <c r="F34" s="11">
        <v>10</v>
      </c>
      <c r="G34" s="10">
        <v>0</v>
      </c>
      <c r="H34" s="11"/>
      <c r="I34" s="16" t="s">
        <v>121</v>
      </c>
      <c r="J34" s="8" t="s">
        <v>15</v>
      </c>
      <c r="K34" s="2" t="str">
        <f t="shared" si="0"/>
        <v>Size S: Chiều dài: 72cm; Chiều rộng: 108cm_x000D_&lt;br&gt;Size M: Chiều dài: 73cm; Chiều rộng: 109cm_x000D_&lt;br&gt;Size L: Chiều dài: 74cm; Chiều rộng: 110cm</v>
      </c>
      <c r="L34" s="3" t="str">
        <f t="shared" si="1"/>
        <v>{"no":"TS11","name":"FLORES STRIPES TEE GREY","category":"Áo phông","price":390000,"quantity":10,"discount":0,"images":"","description":"Size S: Chiều dài: 72cm; Chiều rộng: 108cm_x000D_&lt;br&gt;Size M: Chiều dài: 73cm; Chiều rộng: 109cm_x000D_&lt;br&gt;Size L: Chiều dài: 74cm; Chiều rộng: 110cm"}</v>
      </c>
      <c r="M34" s="2" t="str">
        <f t="shared" si="2"/>
        <v>,</v>
      </c>
      <c r="N34" t="str">
        <f t="shared" si="4"/>
        <v>{"no":"TS11","name":"FLORES STRIPES TEE GREY","category":"Áo phông","price":390000,"quantity":10,"discount":0,"images":"","description":"Size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5" spans="1:14" ht="101.4" thickBot="1" x14ac:dyDescent="0.35">
      <c r="A35" s="11">
        <v>32</v>
      </c>
      <c r="B35" s="11" t="s">
        <v>81</v>
      </c>
      <c r="C35" s="11" t="s">
        <v>82</v>
      </c>
      <c r="D35" s="11" t="s">
        <v>60</v>
      </c>
      <c r="E35" s="12">
        <v>390000</v>
      </c>
      <c r="F35" s="11">
        <v>10</v>
      </c>
      <c r="G35" s="10">
        <v>0</v>
      </c>
      <c r="H35" s="11"/>
      <c r="I35" s="16" t="s">
        <v>121</v>
      </c>
      <c r="J35" s="8" t="s">
        <v>15</v>
      </c>
      <c r="K35" s="2" t="str">
        <f t="shared" si="0"/>
        <v>Size S: Chiều dài: 72cm; Chiều rộng: 108cm_x000D_&lt;br&gt;Size M: Chiều dài: 73cm; Chiều rộng: 109cm_x000D_&lt;br&gt;Size L: Chiều dài: 74cm; Chiều rộng: 110cm</v>
      </c>
      <c r="L35" s="3" t="str">
        <f t="shared" si="1"/>
        <v>{"no":"TS12","name":"FLORES STRIPES TEE BEIGE","category":"Áo phông","price":390000,"quantity":10,"discount":0,"images":"","description":"Size S: Chiều dài: 72cm; Chiều rộng: 108cm_x000D_&lt;br&gt;Size M: Chiều dài: 73cm; Chiều rộng: 109cm_x000D_&lt;br&gt;Size L: Chiều dài: 74cm; Chiều rộng: 110cm"}</v>
      </c>
      <c r="M35" s="2" t="str">
        <f t="shared" si="2"/>
        <v>,</v>
      </c>
      <c r="N35" t="str">
        <f t="shared" si="4"/>
        <v>{"no":"TS12","name":"FLORES STRIPES TEE BEIGE","category":"Áo phông","price":390000,"quantity":10,"discount":0,"images":"","description":"Size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6" spans="1:14" ht="101.4" thickBot="1" x14ac:dyDescent="0.35">
      <c r="A36" s="11">
        <v>33</v>
      </c>
      <c r="B36" s="11" t="s">
        <v>83</v>
      </c>
      <c r="C36" s="11" t="s">
        <v>84</v>
      </c>
      <c r="D36" s="11" t="s">
        <v>60</v>
      </c>
      <c r="E36" s="12">
        <v>380000</v>
      </c>
      <c r="F36" s="11">
        <v>10</v>
      </c>
      <c r="G36" s="10">
        <v>0</v>
      </c>
      <c r="H36" s="11"/>
      <c r="I36" s="16" t="s">
        <v>124</v>
      </c>
      <c r="J36" s="8" t="s">
        <v>15</v>
      </c>
      <c r="K36" s="2" t="str">
        <f t="shared" si="0"/>
        <v>Size S: Chiều dài: 72cm; Chiều rộng: 114cm_x000D_&lt;br&gt;Size M: Chiều dài: 75cm; Chiều rộng: 117cm_x000D_&lt;br&gt;Size L: Chiều dài: 77cm; Chiều rộng: 120cm</v>
      </c>
      <c r="L36" s="3" t="str">
        <f t="shared" si="1"/>
        <v>{"no":"TS13","name":"BLUR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</v>
      </c>
      <c r="M36" s="2" t="str">
        <f t="shared" si="2"/>
        <v>,</v>
      </c>
      <c r="N36" t="str">
        <f t="shared" si="4"/>
        <v>{"no":"TS13","name":"BLUR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120cm"},</v>
      </c>
    </row>
    <row r="37" spans="1:14" ht="101.4" thickBot="1" x14ac:dyDescent="0.35">
      <c r="A37" s="11">
        <v>34</v>
      </c>
      <c r="B37" s="11" t="s">
        <v>85</v>
      </c>
      <c r="C37" s="18" t="s">
        <v>86</v>
      </c>
      <c r="D37" s="11" t="s">
        <v>60</v>
      </c>
      <c r="E37" s="12">
        <v>380000</v>
      </c>
      <c r="F37" s="11">
        <v>10</v>
      </c>
      <c r="G37" s="10">
        <v>0</v>
      </c>
      <c r="H37" s="11"/>
      <c r="I37" s="16" t="s">
        <v>124</v>
      </c>
      <c r="J37" s="8" t="s">
        <v>15</v>
      </c>
      <c r="K37" s="2" t="str">
        <f t="shared" si="0"/>
        <v>Size S: Chiều dài: 72cm; Chiều rộng: 114cm_x000D_&lt;br&gt;Size M: Chiều dài: 75cm; Chiều rộng: 117cm_x000D_&lt;br&gt;Size L: Chiều dài: 77cm; Chiều rộng: 120cm</v>
      </c>
      <c r="L37" s="3" t="str">
        <f t="shared" si="1"/>
        <v>{"no":"TS14","name":"BLUR TEE WHITE","category":"Áo phông","price":380000,"quantity":10,"discount":0,"images":"","description":"Size S: Chiều dài: 72cm; Chiều rộng: 114cm_x000D_&lt;br&gt;Size M: Chiều dài: 75cm; Chiều rộng: 117cm_x000D_&lt;br&gt;Size L: Chiều dài: 77cm; Chiều rộng: 120cm"}</v>
      </c>
      <c r="M37" s="2" t="str">
        <f t="shared" si="2"/>
        <v>,</v>
      </c>
      <c r="N37" t="str">
        <f t="shared" si="4"/>
        <v>{"no":"TS14","name":"BLUR TEE WHITE","category":"Áo phông","price":380000,"quantity":10,"discount":0,"images":"","description":"Size S: Chiều dài: 72cm; Chiều rộng: 114cm_x000D_&lt;br&gt;Size M: Chiều dài: 75cm; Chiều rộng: 117cm_x000D_&lt;br&gt;Size L: Chiều dài: 77cm; Chiều rộng: 120cm"},</v>
      </c>
    </row>
    <row r="38" spans="1:14" ht="101.4" thickBot="1" x14ac:dyDescent="0.35">
      <c r="A38" s="11">
        <v>35</v>
      </c>
      <c r="B38" s="11" t="s">
        <v>87</v>
      </c>
      <c r="C38" s="11" t="s">
        <v>88</v>
      </c>
      <c r="D38" s="11" t="s">
        <v>60</v>
      </c>
      <c r="E38" s="12">
        <v>360000</v>
      </c>
      <c r="F38" s="11">
        <v>10</v>
      </c>
      <c r="G38" s="10">
        <v>0</v>
      </c>
      <c r="H38" s="11"/>
      <c r="I38" s="16" t="s">
        <v>121</v>
      </c>
      <c r="J38" s="8" t="s">
        <v>15</v>
      </c>
      <c r="K38" s="2" t="str">
        <f t="shared" si="0"/>
        <v>Size S: Chiều dài: 72cm; Chiều rộng: 108cm_x000D_&lt;br&gt;Size M: Chiều dài: 73cm; Chiều rộng: 109cm_x000D_&lt;br&gt;Size L: Chiều dài: 74cm; Chiều rộng: 110cm</v>
      </c>
      <c r="L38" s="3" t="str">
        <f t="shared" si="1"/>
        <v>{"no":"TS15","name":"JAN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8" s="2" t="str">
        <f t="shared" si="2"/>
        <v>,</v>
      </c>
      <c r="N38" t="str">
        <f t="shared" si="4"/>
        <v>{"no":"TS15","name":"JAN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9" spans="1:14" ht="87" thickBot="1" x14ac:dyDescent="0.35">
      <c r="A39" s="11">
        <v>36</v>
      </c>
      <c r="B39" s="11" t="s">
        <v>89</v>
      </c>
      <c r="C39" s="11" t="s">
        <v>90</v>
      </c>
      <c r="D39" s="11" t="s">
        <v>60</v>
      </c>
      <c r="E39" s="12">
        <v>380000</v>
      </c>
      <c r="F39" s="11">
        <v>10</v>
      </c>
      <c r="G39" s="10">
        <v>0</v>
      </c>
      <c r="H39" s="11"/>
      <c r="I39" s="16" t="s">
        <v>125</v>
      </c>
      <c r="J39" s="8" t="s">
        <v>15</v>
      </c>
      <c r="K39" s="2" t="str">
        <f t="shared" si="0"/>
        <v>Size S: Chiều dài: 73cm; Chiều rộng: 106cm _x000D_&lt;br&gt;Size M: Chiều dài: 75cm; Chiều rộng: 109cm _x000D_&lt;br&gt;Size L: Chiều dài: 77cm; Chiều rộng: 112cm</v>
      </c>
      <c r="L39" s="3" t="str">
        <f t="shared" si="1"/>
        <v>{"no":"TS16","name":"DAISY TEE BLACK","category":"Áo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39" s="2" t="str">
        <f t="shared" si="2"/>
        <v>,</v>
      </c>
      <c r="N39" t="str">
        <f t="shared" si="4"/>
        <v>{"no":"TS16","name":"DAISY TEE BLACK","category":"Áo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0" spans="1:14" ht="87" thickBot="1" x14ac:dyDescent="0.35">
      <c r="A40" s="11">
        <v>37</v>
      </c>
      <c r="B40" s="11" t="s">
        <v>91</v>
      </c>
      <c r="C40" s="11" t="s">
        <v>92</v>
      </c>
      <c r="D40" s="11" t="s">
        <v>60</v>
      </c>
      <c r="E40" s="12">
        <v>380000</v>
      </c>
      <c r="F40" s="11">
        <v>10</v>
      </c>
      <c r="G40" s="10">
        <v>0</v>
      </c>
      <c r="H40" s="11"/>
      <c r="I40" s="16" t="s">
        <v>125</v>
      </c>
      <c r="J40" s="8" t="s">
        <v>15</v>
      </c>
      <c r="K40" s="2" t="str">
        <f t="shared" si="0"/>
        <v>Size S: Chiều dài: 73cm; Chiều rộng: 106cm _x000D_&lt;br&gt;Size M: Chiều dài: 75cm; Chiều rộng: 109cm _x000D_&lt;br&gt;Size L: Chiều dài: 77cm; Chiều rộng: 112cm</v>
      </c>
      <c r="L40" s="3" t="str">
        <f t="shared" si="1"/>
        <v>{"no":"TS17","name":"DAISY TEE OLIVE","category":"Áo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40" s="2" t="str">
        <f t="shared" si="2"/>
        <v>,</v>
      </c>
      <c r="N40" t="str">
        <f t="shared" si="4"/>
        <v>{"no":"TS17","name":"DAISY TEE OLIVE","category":"Áo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1" spans="1:14" ht="87" thickBot="1" x14ac:dyDescent="0.35">
      <c r="A41" s="11">
        <v>38</v>
      </c>
      <c r="B41" s="11" t="s">
        <v>93</v>
      </c>
      <c r="C41" s="11" t="s">
        <v>94</v>
      </c>
      <c r="D41" s="11" t="s">
        <v>60</v>
      </c>
      <c r="E41" s="12">
        <v>380000</v>
      </c>
      <c r="F41" s="11">
        <v>10</v>
      </c>
      <c r="G41" s="10">
        <v>0</v>
      </c>
      <c r="H41" s="11"/>
      <c r="I41" s="16" t="s">
        <v>125</v>
      </c>
      <c r="J41" s="8" t="s">
        <v>15</v>
      </c>
      <c r="K41" s="2" t="str">
        <f t="shared" si="0"/>
        <v>Size S: Chiều dài: 73cm; Chiều rộng: 106cm _x000D_&lt;br&gt;Size M: Chiều dài: 75cm; Chiều rộng: 109cm _x000D_&lt;br&gt;Size L: Chiều dài: 77cm; Chiều rộng: 112cm</v>
      </c>
      <c r="L41" s="3" t="str">
        <f t="shared" si="1"/>
        <v>{"no":"TS18","name":"DAISY TEE WHITE","category":"Áo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41" s="2" t="str">
        <f t="shared" si="2"/>
        <v>,</v>
      </c>
      <c r="N41" t="str">
        <f t="shared" si="4"/>
        <v>{"no":"TS18","name":"DAISY TEE WHITE","category":"Áo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2" spans="1:14" ht="87" thickBot="1" x14ac:dyDescent="0.35">
      <c r="A42" s="11">
        <v>39</v>
      </c>
      <c r="B42" s="11" t="s">
        <v>95</v>
      </c>
      <c r="C42" s="11" t="s">
        <v>96</v>
      </c>
      <c r="D42" s="11" t="s">
        <v>60</v>
      </c>
      <c r="E42" s="12">
        <v>380000</v>
      </c>
      <c r="F42" s="11">
        <v>10</v>
      </c>
      <c r="G42" s="10">
        <v>0</v>
      </c>
      <c r="H42" s="11"/>
      <c r="I42" s="16" t="s">
        <v>125</v>
      </c>
      <c r="J42" s="8" t="s">
        <v>15</v>
      </c>
      <c r="K42" s="2" t="str">
        <f t="shared" si="0"/>
        <v>Size S: Chiều dài: 73cm; Chiều rộng: 106cm _x000D_&lt;br&gt;Size M: Chiều dài: 75cm; Chiều rộng: 109cm _x000D_&lt;br&gt;Size L: Chiều dài: 77cm; Chiều rộng: 112cm</v>
      </c>
      <c r="L42" s="3" t="str">
        <f t="shared" si="1"/>
        <v>{"no":"TS19","name":"DAISY TEE BEIGE","category":"Áo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42" s="2" t="str">
        <f t="shared" si="2"/>
        <v>,</v>
      </c>
      <c r="N42" t="str">
        <f t="shared" si="4"/>
        <v>{"no":"TS19","name":"DAISY TEE BEIGE","category":"Áo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3" spans="1:14" ht="101.4" thickBot="1" x14ac:dyDescent="0.35">
      <c r="A43" s="11">
        <v>40</v>
      </c>
      <c r="B43" s="11" t="s">
        <v>97</v>
      </c>
      <c r="C43" s="11" t="s">
        <v>98</v>
      </c>
      <c r="D43" s="11" t="s">
        <v>60</v>
      </c>
      <c r="E43" s="12">
        <v>360000</v>
      </c>
      <c r="F43" s="11">
        <v>10</v>
      </c>
      <c r="G43" s="10">
        <v>0</v>
      </c>
      <c r="H43" s="11"/>
      <c r="I43" s="16" t="s">
        <v>121</v>
      </c>
      <c r="J43" s="8" t="s">
        <v>15</v>
      </c>
      <c r="K43" s="2" t="str">
        <f t="shared" si="0"/>
        <v>Size S: Chiều dài: 72cm; Chiều rộng: 108cm_x000D_&lt;br&gt;Size M: Chiều dài: 73cm; Chiều rộng: 109cm_x000D_&lt;br&gt;Size L: Chiều dài: 74cm; Chiều rộng: 110cm</v>
      </c>
      <c r="L43" s="3" t="str">
        <f t="shared" si="1"/>
        <v>{"no":"TS20","name":"LIDER 2020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43" s="2" t="str">
        <f t="shared" si="2"/>
        <v>,</v>
      </c>
      <c r="N43" t="str">
        <f t="shared" si="4"/>
        <v>{"no":"TS20","name":"LIDER 2020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44" spans="1:14" ht="29.4" thickBot="1" x14ac:dyDescent="0.35">
      <c r="A44" s="11">
        <v>41</v>
      </c>
      <c r="B44" s="11" t="s">
        <v>99</v>
      </c>
      <c r="C44" s="11" t="s">
        <v>100</v>
      </c>
      <c r="D44" s="11" t="s">
        <v>101</v>
      </c>
      <c r="E44" s="12">
        <v>720000</v>
      </c>
      <c r="F44" s="11">
        <v>10</v>
      </c>
      <c r="G44" s="10">
        <v>0</v>
      </c>
      <c r="H44" s="11"/>
      <c r="I44" s="16" t="s">
        <v>102</v>
      </c>
      <c r="J44" s="8" t="s">
        <v>15</v>
      </c>
      <c r="K44" s="2" t="str">
        <f t="shared" si="0"/>
        <v>SIZE XS: Eo: 72cm; Dài quần: 90cm; Đùi: 50cm</v>
      </c>
      <c r="L44" s="3" t="str">
        <f t="shared" si="1"/>
        <v>{"no":"TR01","name":"UPSIDE DOWN JEANS","category":"Quần dài","price":720000,"quantity":10,"discount":0,"images":"","description":"SIZE XS: Eo: 72cm; Dài quần: 90cm; Đùi: 50cm"}</v>
      </c>
      <c r="M44" s="2" t="str">
        <f t="shared" si="2"/>
        <v>,</v>
      </c>
      <c r="N44" t="str">
        <f t="shared" si="4"/>
        <v>{"no":"TR01","name":"UPSIDE DOWN JEANS","category":"Quần dài","price":720000,"quantity":10,"discount":0,"images":"","description":"SIZE XS: Eo: 72cm; Dài quần: 90cm; Đùi: 50cm"},</v>
      </c>
    </row>
    <row r="45" spans="1:14" ht="101.4" thickBot="1" x14ac:dyDescent="0.35">
      <c r="A45" s="11">
        <v>42</v>
      </c>
      <c r="B45" s="11" t="s">
        <v>103</v>
      </c>
      <c r="C45" s="11" t="s">
        <v>104</v>
      </c>
      <c r="D45" s="11" t="s">
        <v>101</v>
      </c>
      <c r="E45" s="12">
        <v>720000</v>
      </c>
      <c r="F45" s="11">
        <v>10</v>
      </c>
      <c r="G45" s="10">
        <v>0</v>
      </c>
      <c r="H45" s="11"/>
      <c r="I45" s="16" t="s">
        <v>126</v>
      </c>
      <c r="J45" s="8" t="s">
        <v>15</v>
      </c>
      <c r="K45" s="2" t="str">
        <f t="shared" si="0"/>
        <v>SIZE S: Eo: 78cm; Dài quần: 98cm; Đùi: 50cm_x000D_&lt;br&gt;SIZE M: Eo: 82cm; Dài quần: 99cm; Đùi: 52cm_x000D_&lt;br&gt;SIZE L: Eo: 86cm; Dài quần: 100cm; Đùi: 54cm</v>
      </c>
      <c r="L45" s="3" t="str">
        <f t="shared" si="1"/>
        <v>{"no":"TR02","name":"RACING LEATHER PANTS","category":"Quần dài","price":720000,"quantity":10,"discount":0,"images":"","description":"SIZE S: Eo: 78cm; Dài quần: 98cm; Đùi: 50cm_x000D_&lt;br&gt;SIZE M: Eo: 82cm; Dài quần: 99cm; Đùi: 52cm_x000D_&lt;br&gt;SIZE L: Eo: 86cm; Dài quần: 100cm; Đùi: 54cm"}</v>
      </c>
      <c r="M45" s="2" t="str">
        <f t="shared" si="2"/>
        <v>,</v>
      </c>
      <c r="N45" t="str">
        <f t="shared" si="4"/>
        <v>{"no":"TR02","name":"RACING LEATHER PANTS","category":"Quần dài","price":720000,"quantity":10,"discount":0,"images":"","description":"SIZE S: Eo: 78cm; Dài quần: 98cm; Đùi: 50cm_x000D_&lt;br&gt;SIZE M: Eo: 82cm; Dài quần: 99cm; Đùi: 52cm_x000D_&lt;br&gt;SIZE L: Eo: 86cm; Dài quần: 100cm; Đùi: 54cm"},</v>
      </c>
    </row>
    <row r="46" spans="1:14" ht="144.6" thickBot="1" x14ac:dyDescent="0.35">
      <c r="A46" s="11">
        <v>43</v>
      </c>
      <c r="B46" s="11" t="s">
        <v>127</v>
      </c>
      <c r="C46" s="11" t="s">
        <v>136</v>
      </c>
      <c r="D46" s="11" t="s">
        <v>101</v>
      </c>
      <c r="E46" s="12">
        <v>650000</v>
      </c>
      <c r="F46" s="11">
        <v>10</v>
      </c>
      <c r="G46" s="10">
        <v>0</v>
      </c>
      <c r="H46" s="11"/>
      <c r="I46" s="16" t="s">
        <v>135</v>
      </c>
      <c r="J46" s="8" t="s">
        <v>15</v>
      </c>
      <c r="K46" s="2" t="str">
        <f t="shared" si="0"/>
        <v>Model cao 1m84 nặng 70kg: Áo Size L; Quần Size L&lt;br&gt;Size Charts:&lt;br&gt;SIZE S: Eo: 72cm, Dài quần: 102cm, Đùi: 62cm&lt;br&gt;SIZE M: Eo: 74cm, Dài quần: 106cm, Đùi: 64cm&lt;br&gt;SIZE L: Eo: 76cm, Dài quần: 110cm, Đùi: 66cm</v>
      </c>
      <c r="L46" s="3" t="str">
        <f t="shared" si="1"/>
        <v>{"no":"TR03","name":"ADAM PANTS","category":"Quần dài","price":650000,"quantity":10,"discount":0,"images":"","description":"Model cao 1m84 nặng 70kg: Áo Size L; Quần Size L&lt;br&gt;Size Charts:&lt;br&gt;SIZE S: Eo: 72cm, Dài quần: 102cm, Đùi: 62cm&lt;br&gt;SIZE M: Eo: 74cm, Dài quần: 106cm, Đùi: 64cm&lt;br&gt;SIZE L: Eo: 76cm, Dài quần: 110cm, Đùi: 66cm"}</v>
      </c>
      <c r="M46" s="2" t="str">
        <f t="shared" si="2"/>
        <v>,</v>
      </c>
      <c r="N46" t="str">
        <f t="shared" si="4"/>
        <v>{"no":"TR03","name":"ADAM PANTS","category":"Quần dài","price":650000,"quantity":10,"discount":0,"images":"","description":"Model cao 1m84 nặng 70kg: Áo Size L; Quần Size L&lt;br&gt;Size Charts:&lt;br&gt;SIZE S: Eo: 72cm, Dài quần: 102cm, Đùi: 62cm&lt;br&gt;SIZE M: Eo: 74cm, Dài quần: 106cm, Đùi: 64cm&lt;br&gt;SIZE L: Eo: 76cm, Dài quần: 110cm, Đùi: 66cm"},</v>
      </c>
    </row>
    <row r="47" spans="1:14" ht="173.4" thickBot="1" x14ac:dyDescent="0.35">
      <c r="A47" s="11">
        <v>44</v>
      </c>
      <c r="B47" s="11" t="s">
        <v>128</v>
      </c>
      <c r="C47" s="11" t="s">
        <v>137</v>
      </c>
      <c r="D47" s="11" t="s">
        <v>101</v>
      </c>
      <c r="E47" s="12">
        <v>760000</v>
      </c>
      <c r="F47" s="11">
        <v>10</v>
      </c>
      <c r="G47" s="10">
        <v>0</v>
      </c>
      <c r="H47" s="11"/>
      <c r="I47" s="16" t="s">
        <v>138</v>
      </c>
      <c r="J47" s="8" t="s">
        <v>15</v>
      </c>
      <c r="K47" s="2" t="str">
        <f t="shared" si="0"/>
        <v>Model cao 1m76 nặng 70kg: Áo Size L; Quần Size M&lt;br&gt;Size Charts:&lt;br&gt;SIZE XS: Eo: 76cm, Dài quần: 105cm, Đùi: 60cm&lt;br&gt;SIZE S: Eo: 78cm, Dài quần: 106cm, Đùi: 62cm&lt;br&gt;SIZE M: Eo: 80cm, Dài quần: 107cm, Đùi: 64cm&lt;br&gt;SIZE L: Eo: 82cm, Dài quần: 108cm, Đùi: 66cm</v>
      </c>
      <c r="L47" s="3" t="str">
        <f t="shared" si="1"/>
        <v>{"no":"TR04","name":"BIG BOI JEANS","category":"Quần dài","price":760000,"quantity":10,"discount":0,"images":"","description":"Model cao 1m76 nặng 70kg: Áo Size L; Quần Size M&lt;br&gt;Size Charts:&lt;br&gt;SIZE XS: Eo: 76cm, Dài quần: 105cm, Đùi: 60cm&lt;br&gt;SIZE S: Eo: 78cm, Dài quần: 106cm, Đùi: 62cm&lt;br&gt;SIZE M: Eo: 80cm, Dài quần: 107cm, Đùi: 64cm&lt;br&gt;SIZE L: Eo: 82cm, Dài quần: 108cm, Đùi: 66cm"}</v>
      </c>
      <c r="M47" s="2" t="str">
        <f t="shared" si="2"/>
        <v>,</v>
      </c>
      <c r="N47" t="str">
        <f t="shared" si="4"/>
        <v>{"no":"TR04","name":"BIG BOI JEANS","category":"Quần dài","price":760000,"quantity":10,"discount":0,"images":"","description":"Model cao 1m76 nặng 70kg: Áo Size L; Quần Size M&lt;br&gt;Size Charts:&lt;br&gt;SIZE XS: Eo: 76cm, Dài quần: 105cm, Đùi: 60cm&lt;br&gt;SIZE S: Eo: 78cm, Dài quần: 106cm, Đùi: 62cm&lt;br&gt;SIZE M: Eo: 80cm, Dài quần: 107cm, Đùi: 64cm&lt;br&gt;SIZE L: Eo: 82cm, Dài quần: 108cm, Đùi: 66cm"},</v>
      </c>
    </row>
    <row r="48" spans="1:14" ht="115.8" thickBot="1" x14ac:dyDescent="0.35">
      <c r="A48" s="11">
        <v>45</v>
      </c>
      <c r="B48" s="11" t="s">
        <v>129</v>
      </c>
      <c r="C48" s="11" t="s">
        <v>139</v>
      </c>
      <c r="D48" s="11" t="s">
        <v>101</v>
      </c>
      <c r="E48" s="12">
        <v>690000</v>
      </c>
      <c r="F48" s="11">
        <v>10</v>
      </c>
      <c r="G48" s="10">
        <v>0</v>
      </c>
      <c r="H48" s="11"/>
      <c r="I48" s="16" t="s">
        <v>140</v>
      </c>
      <c r="J48" s="8" t="s">
        <v>15</v>
      </c>
      <c r="K48" s="2" t="str">
        <f t="shared" si="0"/>
        <v>Model cao 1m84 nặng 70kg: Áo Size L; Quần Size L&lt;br&gt;Size Charts:&lt;br&gt;SIZE S: Eo: 72cm, Dài quần: 102cm, Đùi: 62cm&lt;br&gt;SIZE M: Eo: 74cm, Dài quần: 106cm, Đùi: 64cm</v>
      </c>
      <c r="L48" s="3" t="str">
        <f t="shared" si="1"/>
        <v>{"no":"TR05","name":"CODY PANTS","category":"Quần dài","price":690000,"quantity":10,"discount":0,"images":"","description":"Model cao 1m84 nặng 70kg: Áo Size L; Quần Size L&lt;br&gt;Size Charts:&lt;br&gt;SIZE S: Eo: 72cm, Dài quần: 102cm, Đùi: 62cm&lt;br&gt;SIZE M: Eo: 74cm, Dài quần: 106cm, Đùi: 64cm"}</v>
      </c>
      <c r="M48" s="2" t="str">
        <f t="shared" si="2"/>
        <v>,</v>
      </c>
      <c r="N48" t="str">
        <f t="shared" si="4"/>
        <v>{"no":"TR05","name":"CODY PANTS","category":"Quần dài","price":690000,"quantity":10,"discount":0,"images":"","description":"Model cao 1m84 nặng 70kg: Áo Size L; Quần Size L&lt;br&gt;Size Charts:&lt;br&gt;SIZE S: Eo: 72cm, Dài quần: 102cm, Đùi: 62cm&lt;br&gt;SIZE M: Eo: 74cm, Dài quần: 106cm, Đùi: 64cm"},</v>
      </c>
    </row>
    <row r="49" spans="1:14" ht="130.19999999999999" thickBot="1" x14ac:dyDescent="0.35">
      <c r="A49" s="11">
        <v>46</v>
      </c>
      <c r="B49" s="11" t="s">
        <v>130</v>
      </c>
      <c r="C49" s="11" t="s">
        <v>141</v>
      </c>
      <c r="D49" s="11" t="s">
        <v>101</v>
      </c>
      <c r="E49" s="12">
        <v>790000</v>
      </c>
      <c r="F49" s="11">
        <v>10</v>
      </c>
      <c r="G49" s="10">
        <v>0</v>
      </c>
      <c r="H49" s="11"/>
      <c r="I49" s="16" t="s">
        <v>142</v>
      </c>
      <c r="J49" s="8" t="s">
        <v>15</v>
      </c>
      <c r="K49" s="2" t="str">
        <f t="shared" si="0"/>
        <v>SIZE XS: Eo: 76cm, Dài quần: 108cm, Đùi: 56cm&lt;br&gt;SIZE S: Eo: 82cm, Dài quần: 111cm, Đùi: 58cm&lt;br&gt;SIZE M: Eo: 88cm, Dài quần: 114cm, Đùi: 60cm&lt;br&gt;SIZE L: Eo: 94cm, Dài quần: 117cm, Đùi: 62cm</v>
      </c>
      <c r="L49" s="3" t="str">
        <f t="shared" si="1"/>
        <v>{"no":"TR06","name":"BAS JEANS","category":"Quần dài","price":790000,"quantity":10,"discount":0,"images":"","description":"SIZE XS: Eo: 76cm, Dài quần: 108cm, Đùi: 56cm&lt;br&gt;SIZE S: Eo: 82cm, Dài quần: 111cm, Đùi: 58cm&lt;br&gt;SIZE M: Eo: 88cm, Dài quần: 114cm, Đùi: 60cm&lt;br&gt;SIZE L: Eo: 94cm, Dài quần: 117cm, Đùi: 62cm"}</v>
      </c>
      <c r="M49" s="2" t="str">
        <f t="shared" si="2"/>
        <v>,</v>
      </c>
      <c r="N49" t="str">
        <f t="shared" si="4"/>
        <v>{"no":"TR06","name":"BAS JEANS","category":"Quần dài","price":790000,"quantity":10,"discount":0,"images":"","description":"SIZE XS: Eo: 76cm, Dài quần: 108cm, Đùi: 56cm&lt;br&gt;SIZE S: Eo: 82cm, Dài quần: 111cm, Đùi: 58cm&lt;br&gt;SIZE M: Eo: 88cm, Dài quần: 114cm, Đùi: 60cm&lt;br&gt;SIZE L: Eo: 94cm, Dài quần: 117cm, Đùi: 62cm"},</v>
      </c>
    </row>
    <row r="50" spans="1:14" ht="101.4" thickBot="1" x14ac:dyDescent="0.35">
      <c r="A50" s="11">
        <v>47</v>
      </c>
      <c r="B50" s="11" t="s">
        <v>131</v>
      </c>
      <c r="C50" s="11" t="s">
        <v>143</v>
      </c>
      <c r="D50" s="11" t="s">
        <v>101</v>
      </c>
      <c r="E50" s="12">
        <v>690000</v>
      </c>
      <c r="F50" s="11">
        <v>10</v>
      </c>
      <c r="G50" s="10">
        <v>0</v>
      </c>
      <c r="H50" s="11"/>
      <c r="I50" s="16" t="s">
        <v>144</v>
      </c>
      <c r="J50" s="8" t="s">
        <v>15</v>
      </c>
      <c r="K50" s="2" t="str">
        <f t="shared" si="0"/>
        <v>SIZE XS: Eo: 80cm, Dài quần: 97cm, Đùi: 49cm&lt;br&gt;SIZE S: Eo: 82cm, Dài quần: 99cm, Đùi: 50cm&lt;br&gt;SIZE M: Eo: 84cm, Dài quần: 102cm, Đùi: 53cm</v>
      </c>
      <c r="L50" s="3" t="str">
        <f t="shared" si="1"/>
        <v>{"no":"TR07","name":"BLACK SKINNY Jeans","category":"Quần dài","price":690000,"quantity":10,"discount":0,"images":"","description":"SIZE XS: Eo: 80cm, Dài quần: 97cm, Đùi: 49cm&lt;br&gt;SIZE S: Eo: 82cm, Dài quần: 99cm, Đùi: 50cm&lt;br&gt;SIZE M: Eo: 84cm, Dài quần: 102cm, Đùi: 53cm"}</v>
      </c>
      <c r="M50" s="2" t="str">
        <f t="shared" si="2"/>
        <v>,</v>
      </c>
      <c r="N50" t="str">
        <f t="shared" si="4"/>
        <v>{"no":"TR07","name":"BLACK SKINNY Jeans","category":"Quần dài","price":690000,"quantity":10,"discount":0,"images":"","description":"SIZE XS: Eo: 80cm, Dài quần: 97cm, Đùi: 49cm&lt;br&gt;SIZE S: Eo: 82cm, Dài quần: 99cm, Đùi: 50cm&lt;br&gt;SIZE M: Eo: 84cm, Dài quần: 102cm, Đùi: 53cm"},</v>
      </c>
    </row>
    <row r="51" spans="1:14" ht="130.19999999999999" thickBot="1" x14ac:dyDescent="0.35">
      <c r="A51" s="11">
        <v>48</v>
      </c>
      <c r="B51" s="11" t="s">
        <v>132</v>
      </c>
      <c r="C51" s="11" t="s">
        <v>145</v>
      </c>
      <c r="D51" s="11" t="s">
        <v>101</v>
      </c>
      <c r="E51" s="12">
        <v>690000</v>
      </c>
      <c r="F51" s="11">
        <v>10</v>
      </c>
      <c r="G51" s="10">
        <v>0</v>
      </c>
      <c r="H51" s="11"/>
      <c r="I51" s="16" t="s">
        <v>146</v>
      </c>
      <c r="J51" s="8" t="s">
        <v>15</v>
      </c>
      <c r="K51" s="2" t="str">
        <f t="shared" si="0"/>
        <v>Model cao 1m84 nặng 70kg: Áo Size L; Quần Size L&lt;br&gt;Size Charts:&lt;br&gt;SIZE S: Eo: 72cm, Dài quần: 95cm, Đùi: 52cm&lt;br&gt;SIZE M: Eo: 84cm, Dài quần: 96cm, Đùi: 54cm&lt;br&gt;SIZE L: Eo: 76cm, Dài quần: 98cm, Đùi: 56cm</v>
      </c>
      <c r="L51" s="3" t="str">
        <f t="shared" si="1"/>
        <v>{"no":"TR08","name":"INDIGO PANTS","category":"Quần dài","price":690000,"quantity":10,"discount":0,"images":"","description":"Model cao 1m84 nặng 70kg: Áo Size L; Quần Size L&lt;br&gt;Size Charts:&lt;br&gt;SIZE S: Eo: 72cm, Dài quần: 95cm, Đùi: 52cm&lt;br&gt;SIZE M: Eo: 84cm, Dài quần: 96cm, Đùi: 54cm&lt;br&gt;SIZE L: Eo: 76cm, Dài quần: 98cm, Đùi: 56cm"}</v>
      </c>
      <c r="M51" s="2" t="str">
        <f t="shared" si="2"/>
        <v>,</v>
      </c>
      <c r="N51" t="str">
        <f t="shared" si="4"/>
        <v>{"no":"TR08","name":"INDIGO PANTS","category":"Quần dài","price":690000,"quantity":10,"discount":0,"images":"","description":"Model cao 1m84 nặng 70kg: Áo Size L; Quần Size L&lt;br&gt;Size Charts:&lt;br&gt;SIZE S: Eo: 72cm, Dài quần: 95cm, Đùi: 52cm&lt;br&gt;SIZE M: Eo: 84cm, Dài quần: 96cm, Đùi: 54cm&lt;br&gt;SIZE L: Eo: 76cm, Dài quần: 98cm, Đùi: 56cm"},</v>
      </c>
    </row>
    <row r="52" spans="1:14" ht="130.19999999999999" thickBot="1" x14ac:dyDescent="0.35">
      <c r="A52" s="11">
        <v>49</v>
      </c>
      <c r="B52" s="11" t="s">
        <v>133</v>
      </c>
      <c r="C52" s="11" t="s">
        <v>147</v>
      </c>
      <c r="D52" s="11" t="s">
        <v>101</v>
      </c>
      <c r="E52" s="12">
        <v>820000</v>
      </c>
      <c r="F52" s="11">
        <v>10</v>
      </c>
      <c r="G52" s="10">
        <v>0</v>
      </c>
      <c r="H52" s="11"/>
      <c r="I52" s="16" t="s">
        <v>148</v>
      </c>
      <c r="J52" s="8" t="s">
        <v>15</v>
      </c>
      <c r="K52" s="2" t="str">
        <f t="shared" si="0"/>
        <v>SIZE XS: Eo: 72cm, Dài quần: 91cm, Đùi: 52cm&lt;br&gt;SIZE S: Eo: 75cm, Dài quần: 93cm, Đùi: 54cm&lt;br&gt;SIZE M: Eo: 78cm, Dài quần: 95cm, Đùi: 56cm&lt;br&gt;SIZE L: Eo: 81cm, Dài quần: 97cm, Đùi: 58cm</v>
      </c>
      <c r="L52" s="3" t="str">
        <f t="shared" si="1"/>
        <v>{"no":"TR09","name":"BEGGA JEANS","category":"Quần dài","price":820000,"quantity":10,"discount":0,"images":"","description":"SIZE XS: Eo: 72cm, Dài quần: 91cm, Đùi: 52cm&lt;br&gt;SIZE S: Eo: 75cm, Dài quần: 93cm, Đùi: 54cm&lt;br&gt;SIZE M: Eo: 78cm, Dài quần: 95cm, Đùi: 56cm&lt;br&gt;SIZE L: Eo: 81cm, Dài quần: 97cm, Đùi: 58cm"}</v>
      </c>
      <c r="M52" s="2" t="str">
        <f t="shared" si="2"/>
        <v>,</v>
      </c>
      <c r="N52" t="str">
        <f t="shared" si="4"/>
        <v>{"no":"TR09","name":"BEGGA JEANS","category":"Quần dài","price":820000,"quantity":10,"discount":0,"images":"","description":"SIZE XS: Eo: 72cm, Dài quần: 91cm, Đùi: 52cm&lt;br&gt;SIZE S: Eo: 75cm, Dài quần: 93cm, Đùi: 54cm&lt;br&gt;SIZE M: Eo: 78cm, Dài quần: 95cm, Đùi: 56cm&lt;br&gt;SIZE L: Eo: 81cm, Dài quần: 97cm, Đùi: 58cm"},</v>
      </c>
    </row>
    <row r="53" spans="1:14" ht="159" thickBot="1" x14ac:dyDescent="0.35">
      <c r="A53" s="11">
        <v>50</v>
      </c>
      <c r="B53" s="11" t="s">
        <v>134</v>
      </c>
      <c r="C53" s="11" t="s">
        <v>150</v>
      </c>
      <c r="D53" s="11" t="s">
        <v>101</v>
      </c>
      <c r="E53" s="12">
        <v>750000</v>
      </c>
      <c r="F53" s="11">
        <v>10</v>
      </c>
      <c r="G53" s="10">
        <v>0</v>
      </c>
      <c r="H53" s="11"/>
      <c r="I53" s="16" t="s">
        <v>149</v>
      </c>
      <c r="J53" s="8" t="s">
        <v>15</v>
      </c>
      <c r="K53" s="2" t="str">
        <f t="shared" si="0"/>
        <v>SIZE XS: Eo: 66cm, Dài quần: 82cm, Đùi: 50cm&lt;br&gt;&lt;br&gt;SIZE S: Eo: 72cm, Dài quần: 86cm, Đùi: 44cm&lt;br&gt;&lt;br&gt;SIZE M: Eo: 78cm, Dài quần: 90cm, Đùi: 46cm&lt;br&gt;&lt;br&gt;SIZE L: Eo: 84cm, Dài quần: 94cm, Đùi: 48cm</v>
      </c>
      <c r="L53" s="3" t="str">
        <f t="shared" si="1"/>
        <v>{"no":"TR10","name":"FUNKY JEANS","category":"Quần dài","price":750000,"quantity":10,"discount":0,"images":"","description":"SIZE XS: Eo: 66cm, Dài quần: 82cm, Đùi: 50cm&lt;br&gt;&lt;br&gt;SIZE S: Eo: 72cm, Dài quần: 86cm, Đùi: 44cm&lt;br&gt;&lt;br&gt;SIZE M: Eo: 78cm, Dài quần: 90cm, Đùi: 46cm&lt;br&gt;&lt;br&gt;SIZE L: Eo: 84cm, Dài quần: 94cm, Đùi: 48cm"}</v>
      </c>
      <c r="M53" s="2" t="str">
        <f t="shared" si="2"/>
        <v/>
      </c>
      <c r="N53" t="str">
        <f t="shared" si="4"/>
        <v>{"no":"TR10","name":"FUNKY JEANS","category":"Quần dài","price":750000,"quantity":10,"discount":0,"images":"","description":"SIZE XS: Eo: 66cm, Dài quần: 82cm, Đùi: 50cm&lt;br&gt;&lt;br&gt;SIZE S: Eo: 72cm, Dài quần: 86cm, Đùi: 44cm&lt;br&gt;&lt;br&gt;SIZE M: Eo: 78cm, Dài quần: 90cm, Đùi: 46cm&lt;br&gt;&lt;br&gt;SIZE L: Eo: 84cm, Dài quần: 94cm, Đùi: 48cm"}</v>
      </c>
    </row>
    <row r="54" spans="1:14" ht="15.6" thickBot="1" x14ac:dyDescent="0.35">
      <c r="A54" s="6"/>
      <c r="B54" s="6"/>
      <c r="C54" s="6"/>
      <c r="D54" s="6"/>
      <c r="E54" s="6"/>
      <c r="F54" s="6"/>
      <c r="G54" s="10"/>
      <c r="H54" s="6"/>
      <c r="I54" s="16"/>
      <c r="J54" s="8"/>
      <c r="K54" s="2" t="str">
        <f t="shared" si="0"/>
        <v/>
      </c>
      <c r="L54" s="3" t="str">
        <f t="shared" si="1"/>
        <v/>
      </c>
      <c r="M54" s="2" t="str">
        <f t="shared" si="2"/>
        <v/>
      </c>
      <c r="N54" t="str">
        <f t="shared" si="4"/>
        <v/>
      </c>
    </row>
    <row r="55" spans="1:14" ht="15.6" thickBot="1" x14ac:dyDescent="0.35">
      <c r="A55" s="6"/>
      <c r="G55" s="10"/>
      <c r="J55" s="8"/>
      <c r="K55" s="2" t="str">
        <f t="shared" si="0"/>
        <v/>
      </c>
      <c r="L55" s="3" t="str">
        <f t="shared" si="1"/>
        <v/>
      </c>
      <c r="M55" s="2" t="str">
        <f t="shared" si="2"/>
        <v/>
      </c>
      <c r="N55" t="str">
        <f t="shared" si="4"/>
        <v/>
      </c>
    </row>
    <row r="56" spans="1:14" ht="15.6" thickBot="1" x14ac:dyDescent="0.35">
      <c r="A56" s="6"/>
      <c r="G56" s="10"/>
      <c r="J56" s="8"/>
      <c r="K56" s="2" t="str">
        <f t="shared" si="0"/>
        <v/>
      </c>
      <c r="L56" s="3" t="str">
        <f t="shared" si="1"/>
        <v/>
      </c>
      <c r="M56" s="2" t="str">
        <f t="shared" si="2"/>
        <v/>
      </c>
      <c r="N56" t="str">
        <f t="shared" si="4"/>
        <v/>
      </c>
    </row>
    <row r="57" spans="1:14" ht="15.6" thickBot="1" x14ac:dyDescent="0.35">
      <c r="A57" s="6"/>
      <c r="B57" s="6"/>
      <c r="C57" s="6"/>
      <c r="D57" s="6"/>
      <c r="E57" s="6"/>
      <c r="F57" s="6"/>
      <c r="G57" s="10"/>
      <c r="H57" s="6"/>
      <c r="I57" s="16"/>
      <c r="J57" s="8"/>
      <c r="K57" s="2" t="str">
        <f t="shared" si="0"/>
        <v/>
      </c>
      <c r="L57" s="3" t="str">
        <f t="shared" si="1"/>
        <v/>
      </c>
      <c r="M57" s="2" t="str">
        <f t="shared" si="2"/>
        <v/>
      </c>
      <c r="N57" t="str">
        <f t="shared" si="4"/>
        <v/>
      </c>
    </row>
    <row r="58" spans="1:14" ht="15.6" thickBot="1" x14ac:dyDescent="0.35">
      <c r="A58" s="6"/>
      <c r="G58" s="10"/>
      <c r="J58" s="8"/>
      <c r="K58" s="2" t="str">
        <f t="shared" si="0"/>
        <v/>
      </c>
      <c r="L58" s="3" t="str">
        <f t="shared" si="1"/>
        <v/>
      </c>
      <c r="M58" s="2" t="str">
        <f t="shared" si="2"/>
        <v/>
      </c>
      <c r="N58" t="str">
        <f t="shared" si="4"/>
        <v/>
      </c>
    </row>
    <row r="59" spans="1:14" ht="15.6" thickBot="1" x14ac:dyDescent="0.35">
      <c r="A59" s="6"/>
      <c r="G59" s="10"/>
      <c r="J59" s="8"/>
      <c r="K59" s="2" t="str">
        <f t="shared" si="0"/>
        <v/>
      </c>
      <c r="L59" s="3" t="str">
        <f t="shared" si="1"/>
        <v/>
      </c>
      <c r="M59" s="2" t="str">
        <f t="shared" si="2"/>
        <v/>
      </c>
      <c r="N59" t="str">
        <f t="shared" si="4"/>
        <v/>
      </c>
    </row>
    <row r="60" spans="1:14" ht="15.6" thickBot="1" x14ac:dyDescent="0.35">
      <c r="A60" s="6"/>
      <c r="B60" s="6"/>
      <c r="C60" s="6"/>
      <c r="D60" s="6"/>
      <c r="E60" s="6"/>
      <c r="F60" s="6"/>
      <c r="G60" s="10"/>
      <c r="H60" s="6"/>
      <c r="I60" s="16"/>
      <c r="J60" s="8"/>
      <c r="K60" s="2" t="str">
        <f t="shared" si="0"/>
        <v/>
      </c>
      <c r="L60" s="3" t="str">
        <f t="shared" si="1"/>
        <v/>
      </c>
      <c r="M60" s="2" t="str">
        <f t="shared" si="2"/>
        <v/>
      </c>
      <c r="N60" t="str">
        <f t="shared" si="4"/>
        <v/>
      </c>
    </row>
    <row r="61" spans="1:14" ht="15.6" thickBot="1" x14ac:dyDescent="0.35">
      <c r="A61" s="6"/>
      <c r="G61" s="10"/>
      <c r="J61" s="8"/>
      <c r="K61" s="2" t="str">
        <f t="shared" si="0"/>
        <v/>
      </c>
      <c r="L61" s="3" t="str">
        <f t="shared" si="1"/>
        <v/>
      </c>
      <c r="M61" s="2" t="str">
        <f t="shared" si="2"/>
        <v/>
      </c>
      <c r="N61" t="str">
        <f t="shared" si="4"/>
        <v/>
      </c>
    </row>
    <row r="62" spans="1:14" ht="15.6" thickBot="1" x14ac:dyDescent="0.35">
      <c r="A62" s="6"/>
      <c r="G62" s="10"/>
      <c r="J62" s="8"/>
      <c r="K62" s="2" t="str">
        <f t="shared" si="0"/>
        <v/>
      </c>
      <c r="L62" s="3" t="str">
        <f t="shared" si="1"/>
        <v/>
      </c>
      <c r="M62" s="2" t="str">
        <f t="shared" si="2"/>
        <v/>
      </c>
      <c r="N62" t="str">
        <f t="shared" si="4"/>
        <v/>
      </c>
    </row>
    <row r="63" spans="1:14" ht="15.6" thickBot="1" x14ac:dyDescent="0.35">
      <c r="A63" s="6"/>
      <c r="B63" s="6"/>
      <c r="C63" s="6"/>
      <c r="D63" s="6"/>
      <c r="E63" s="6"/>
      <c r="F63" s="6"/>
      <c r="G63" s="10"/>
      <c r="H63" s="6"/>
      <c r="I63" s="16"/>
      <c r="J63" s="8"/>
      <c r="K63" s="2" t="str">
        <f t="shared" si="0"/>
        <v/>
      </c>
      <c r="L63" s="3" t="str">
        <f t="shared" si="1"/>
        <v/>
      </c>
      <c r="M63" s="2" t="str">
        <f t="shared" si="2"/>
        <v/>
      </c>
      <c r="N63" t="str">
        <f t="shared" si="4"/>
        <v/>
      </c>
    </row>
    <row r="64" spans="1:14" ht="15.6" thickBot="1" x14ac:dyDescent="0.35">
      <c r="A64" s="6"/>
      <c r="G64" s="10"/>
      <c r="J64" s="8"/>
      <c r="K64" s="2" t="str">
        <f t="shared" si="0"/>
        <v/>
      </c>
      <c r="L64" s="3" t="str">
        <f t="shared" si="1"/>
        <v/>
      </c>
      <c r="M64" s="2" t="str">
        <f t="shared" si="2"/>
        <v/>
      </c>
      <c r="N64" t="str">
        <f t="shared" si="4"/>
        <v/>
      </c>
    </row>
    <row r="65" spans="1:14" ht="15.6" thickBot="1" x14ac:dyDescent="0.35">
      <c r="A65" s="6"/>
      <c r="G65" s="10"/>
      <c r="J65" s="8"/>
      <c r="K65" s="2" t="str">
        <f t="shared" si="0"/>
        <v/>
      </c>
      <c r="L65" s="3" t="str">
        <f t="shared" si="1"/>
        <v/>
      </c>
      <c r="M65" s="2" t="str">
        <f t="shared" si="2"/>
        <v/>
      </c>
      <c r="N65" t="str">
        <f t="shared" si="4"/>
        <v/>
      </c>
    </row>
    <row r="66" spans="1:14" ht="15.6" thickBot="1" x14ac:dyDescent="0.35">
      <c r="A66" s="6"/>
      <c r="B66" s="6"/>
      <c r="C66" s="6"/>
      <c r="D66" s="6"/>
      <c r="E66" s="6"/>
      <c r="F66" s="6"/>
      <c r="G66" s="10"/>
      <c r="H66" s="6"/>
      <c r="I66" s="16"/>
      <c r="J66" s="8"/>
      <c r="K66" s="2" t="str">
        <f t="shared" si="0"/>
        <v/>
      </c>
      <c r="L66" s="3" t="str">
        <f t="shared" si="1"/>
        <v/>
      </c>
      <c r="M66" s="2" t="str">
        <f t="shared" si="2"/>
        <v/>
      </c>
      <c r="N66" t="str">
        <f t="shared" si="4"/>
        <v/>
      </c>
    </row>
    <row r="67" spans="1:14" ht="15.6" thickBot="1" x14ac:dyDescent="0.35">
      <c r="A67" s="6"/>
      <c r="G67" s="10"/>
      <c r="J67" s="8"/>
      <c r="K67" s="2" t="str">
        <f t="shared" si="0"/>
        <v/>
      </c>
      <c r="L67" s="3" t="str">
        <f t="shared" si="1"/>
        <v/>
      </c>
      <c r="M67" s="2" t="str">
        <f t="shared" si="2"/>
        <v/>
      </c>
      <c r="N67" t="str">
        <f t="shared" si="4"/>
        <v/>
      </c>
    </row>
    <row r="68" spans="1:14" ht="15.6" thickBot="1" x14ac:dyDescent="0.35">
      <c r="A68" s="6"/>
      <c r="G68" s="10"/>
      <c r="J68" s="8"/>
      <c r="K68" s="2" t="str">
        <f t="shared" si="0"/>
        <v/>
      </c>
      <c r="L68" s="3" t="str">
        <f t="shared" si="1"/>
        <v/>
      </c>
      <c r="M68" s="2" t="str">
        <f t="shared" si="2"/>
        <v/>
      </c>
      <c r="N68" t="str">
        <f t="shared" si="4"/>
        <v/>
      </c>
    </row>
    <row r="69" spans="1:14" ht="15.6" thickBot="1" x14ac:dyDescent="0.35">
      <c r="A69" s="6"/>
      <c r="B69" s="6"/>
      <c r="C69" s="6"/>
      <c r="D69" s="6"/>
      <c r="E69" s="6"/>
      <c r="F69" s="6"/>
      <c r="G69" s="10"/>
      <c r="H69" s="6"/>
      <c r="I69" s="16"/>
      <c r="J69" s="8"/>
      <c r="K69" s="2" t="str">
        <f t="shared" ref="K69:K132" si="5">SUBSTITUTE(I69,CHAR(10),"&lt;br&gt;")</f>
        <v/>
      </c>
      <c r="L69" s="3" t="str">
        <f t="shared" ref="L69:L132" si="6">IF(B69="","","{"&amp;$M$1&amp;"no"&amp;$M$1&amp;":"&amp;$M$1&amp;""&amp;B69&amp;""&amp;$M$1&amp;","&amp;$M$1&amp;"name"&amp;$M$1&amp;":"&amp;$M$1&amp;""&amp;C69&amp;""&amp;$M$1&amp;","&amp;$M$1&amp;"category"&amp;$M$1&amp;":"&amp;$M$1&amp;""&amp;D69&amp;""&amp;$M$1&amp;","&amp;$M$1&amp;"price"&amp;$M$1&amp;":"&amp;E69&amp;","&amp;$M$1&amp;"quantity"&amp;$M$1&amp;":"&amp;F69&amp;","&amp;$M$1&amp;"discount"&amp;$M$1&amp;":"&amp;G69*100&amp;","&amp;$M$1&amp;"images"&amp;$M$1&amp;":"&amp;$M$1&amp;""&amp;H69&amp;""&amp;$M$1&amp;","&amp;$M$1&amp;"description"&amp;$M$1&amp;":"&amp;$M$1&amp;""&amp;K69&amp;""&amp;$M$1&amp;"}")</f>
        <v/>
      </c>
      <c r="M69" s="2" t="str">
        <f t="shared" ref="M69:M132" si="7">IF(L70="","",",")</f>
        <v/>
      </c>
      <c r="N69" t="str">
        <f t="shared" si="4"/>
        <v/>
      </c>
    </row>
    <row r="70" spans="1:14" ht="15.6" thickBot="1" x14ac:dyDescent="0.35">
      <c r="A70" s="6"/>
      <c r="G70" s="10"/>
      <c r="J70" s="8"/>
      <c r="K70" s="2" t="str">
        <f t="shared" si="5"/>
        <v/>
      </c>
      <c r="L70" s="3" t="str">
        <f t="shared" si="6"/>
        <v/>
      </c>
      <c r="M70" s="2" t="str">
        <f t="shared" si="7"/>
        <v/>
      </c>
      <c r="N70" t="str">
        <f t="shared" si="4"/>
        <v/>
      </c>
    </row>
    <row r="71" spans="1:14" ht="15.6" thickBot="1" x14ac:dyDescent="0.35">
      <c r="A71" s="6"/>
      <c r="G71" s="10"/>
      <c r="J71" s="8"/>
      <c r="K71" s="2" t="str">
        <f t="shared" si="5"/>
        <v/>
      </c>
      <c r="L71" s="3" t="str">
        <f t="shared" si="6"/>
        <v/>
      </c>
      <c r="M71" s="2" t="str">
        <f t="shared" si="7"/>
        <v/>
      </c>
      <c r="N71" t="str">
        <f t="shared" si="4"/>
        <v/>
      </c>
    </row>
    <row r="72" spans="1:14" ht="15.6" thickBot="1" x14ac:dyDescent="0.35">
      <c r="A72" s="6"/>
      <c r="B72" s="6"/>
      <c r="C72" s="6"/>
      <c r="D72" s="6"/>
      <c r="E72" s="6"/>
      <c r="F72" s="6"/>
      <c r="G72" s="10"/>
      <c r="H72" s="6"/>
      <c r="I72" s="16"/>
      <c r="J72" s="8"/>
      <c r="K72" s="2" t="str">
        <f t="shared" si="5"/>
        <v/>
      </c>
      <c r="L72" s="3" t="str">
        <f t="shared" si="6"/>
        <v/>
      </c>
      <c r="M72" s="2" t="str">
        <f t="shared" si="7"/>
        <v/>
      </c>
      <c r="N72" t="str">
        <f t="shared" si="4"/>
        <v/>
      </c>
    </row>
    <row r="73" spans="1:14" ht="15.6" thickBot="1" x14ac:dyDescent="0.35">
      <c r="A73" s="6"/>
      <c r="G73" s="10"/>
      <c r="J73" s="8"/>
      <c r="K73" s="2" t="str">
        <f t="shared" si="5"/>
        <v/>
      </c>
      <c r="L73" s="3" t="str">
        <f t="shared" si="6"/>
        <v/>
      </c>
      <c r="M73" s="2" t="str">
        <f t="shared" si="7"/>
        <v/>
      </c>
      <c r="N73" t="str">
        <f t="shared" ref="N73:N136" si="8">_xlfn.CONCAT(L73,M73)</f>
        <v/>
      </c>
    </row>
    <row r="74" spans="1:14" ht="15.6" thickBot="1" x14ac:dyDescent="0.35">
      <c r="A74" s="6"/>
      <c r="G74" s="10"/>
      <c r="J74" s="8"/>
      <c r="K74" s="2" t="str">
        <f t="shared" si="5"/>
        <v/>
      </c>
      <c r="L74" s="3" t="str">
        <f t="shared" si="6"/>
        <v/>
      </c>
      <c r="M74" s="2" t="str">
        <f t="shared" si="7"/>
        <v/>
      </c>
      <c r="N74" t="str">
        <f t="shared" si="8"/>
        <v/>
      </c>
    </row>
    <row r="75" spans="1:14" ht="15.6" thickBot="1" x14ac:dyDescent="0.35">
      <c r="A75" s="6"/>
      <c r="B75" s="6"/>
      <c r="C75" s="6"/>
      <c r="D75" s="6"/>
      <c r="E75" s="6"/>
      <c r="F75" s="6"/>
      <c r="G75" s="10"/>
      <c r="H75" s="6"/>
      <c r="I75" s="16"/>
      <c r="J75" s="8"/>
      <c r="K75" s="2" t="str">
        <f t="shared" si="5"/>
        <v/>
      </c>
      <c r="L75" s="3" t="str">
        <f t="shared" si="6"/>
        <v/>
      </c>
      <c r="M75" s="2" t="str">
        <f t="shared" si="7"/>
        <v/>
      </c>
      <c r="N75" t="str">
        <f t="shared" si="8"/>
        <v/>
      </c>
    </row>
    <row r="76" spans="1:14" ht="15.6" thickBot="1" x14ac:dyDescent="0.35">
      <c r="A76" s="6"/>
      <c r="G76" s="10"/>
      <c r="J76" s="8"/>
      <c r="K76" s="2" t="str">
        <f t="shared" si="5"/>
        <v/>
      </c>
      <c r="L76" s="3" t="str">
        <f t="shared" si="6"/>
        <v/>
      </c>
      <c r="M76" s="2" t="str">
        <f t="shared" si="7"/>
        <v/>
      </c>
      <c r="N76" t="str">
        <f t="shared" si="8"/>
        <v/>
      </c>
    </row>
    <row r="77" spans="1:14" ht="15.6" thickBot="1" x14ac:dyDescent="0.35">
      <c r="A77" s="6"/>
      <c r="G77" s="10"/>
      <c r="J77" s="8"/>
      <c r="K77" s="2" t="str">
        <f t="shared" si="5"/>
        <v/>
      </c>
      <c r="L77" s="3" t="str">
        <f t="shared" si="6"/>
        <v/>
      </c>
      <c r="M77" s="2" t="str">
        <f t="shared" si="7"/>
        <v/>
      </c>
      <c r="N77" t="str">
        <f t="shared" si="8"/>
        <v/>
      </c>
    </row>
    <row r="78" spans="1:14" ht="15.6" thickBot="1" x14ac:dyDescent="0.35">
      <c r="A78" s="6"/>
      <c r="B78" s="6"/>
      <c r="C78" s="6"/>
      <c r="D78" s="6"/>
      <c r="E78" s="6"/>
      <c r="F78" s="6"/>
      <c r="G78" s="10"/>
      <c r="H78" s="6"/>
      <c r="I78" s="16"/>
      <c r="J78" s="8"/>
      <c r="K78" s="2" t="str">
        <f t="shared" si="5"/>
        <v/>
      </c>
      <c r="L78" s="3" t="str">
        <f t="shared" si="6"/>
        <v/>
      </c>
      <c r="M78" s="2" t="str">
        <f t="shared" si="7"/>
        <v/>
      </c>
      <c r="N78" t="str">
        <f t="shared" si="8"/>
        <v/>
      </c>
    </row>
    <row r="79" spans="1:14" ht="15.6" thickBot="1" x14ac:dyDescent="0.35">
      <c r="A79" s="6"/>
      <c r="G79" s="10"/>
      <c r="J79" s="8"/>
      <c r="K79" s="2" t="str">
        <f t="shared" si="5"/>
        <v/>
      </c>
      <c r="L79" s="3" t="str">
        <f t="shared" si="6"/>
        <v/>
      </c>
      <c r="M79" s="2" t="str">
        <f t="shared" si="7"/>
        <v/>
      </c>
      <c r="N79" t="str">
        <f t="shared" si="8"/>
        <v/>
      </c>
    </row>
    <row r="80" spans="1:14" ht="15.6" thickBot="1" x14ac:dyDescent="0.35">
      <c r="A80" s="6"/>
      <c r="G80" s="10"/>
      <c r="J80" s="8"/>
      <c r="K80" s="2" t="str">
        <f t="shared" si="5"/>
        <v/>
      </c>
      <c r="L80" s="3" t="str">
        <f t="shared" si="6"/>
        <v/>
      </c>
      <c r="M80" s="2" t="str">
        <f t="shared" si="7"/>
        <v/>
      </c>
      <c r="N80" t="str">
        <f t="shared" si="8"/>
        <v/>
      </c>
    </row>
    <row r="81" spans="1:14" ht="15.6" thickBot="1" x14ac:dyDescent="0.35">
      <c r="A81" s="6"/>
      <c r="B81" s="6"/>
      <c r="C81" s="6"/>
      <c r="D81" s="6"/>
      <c r="E81" s="6"/>
      <c r="F81" s="6"/>
      <c r="G81" s="10"/>
      <c r="H81" s="6"/>
      <c r="I81" s="16"/>
      <c r="J81" s="8"/>
      <c r="K81" s="2" t="str">
        <f t="shared" si="5"/>
        <v/>
      </c>
      <c r="L81" s="3" t="str">
        <f t="shared" si="6"/>
        <v/>
      </c>
      <c r="M81" s="2" t="str">
        <f t="shared" si="7"/>
        <v/>
      </c>
      <c r="N81" t="str">
        <f t="shared" si="8"/>
        <v/>
      </c>
    </row>
    <row r="82" spans="1:14" ht="15.6" thickBot="1" x14ac:dyDescent="0.35">
      <c r="A82" s="6"/>
      <c r="G82" s="10"/>
      <c r="J82" s="8"/>
      <c r="K82" s="2" t="str">
        <f t="shared" si="5"/>
        <v/>
      </c>
      <c r="L82" s="3" t="str">
        <f t="shared" si="6"/>
        <v/>
      </c>
      <c r="M82" s="2" t="str">
        <f t="shared" si="7"/>
        <v/>
      </c>
      <c r="N82" t="str">
        <f t="shared" si="8"/>
        <v/>
      </c>
    </row>
    <row r="83" spans="1:14" ht="15.6" thickBot="1" x14ac:dyDescent="0.35">
      <c r="A83" s="6"/>
      <c r="G83" s="10"/>
      <c r="J83" s="8"/>
      <c r="K83" s="2" t="str">
        <f t="shared" si="5"/>
        <v/>
      </c>
      <c r="L83" s="3" t="str">
        <f t="shared" si="6"/>
        <v/>
      </c>
      <c r="M83" s="2" t="str">
        <f t="shared" si="7"/>
        <v/>
      </c>
      <c r="N83" t="str">
        <f t="shared" si="8"/>
        <v/>
      </c>
    </row>
    <row r="84" spans="1:14" ht="15.6" thickBot="1" x14ac:dyDescent="0.35">
      <c r="A84" s="6"/>
      <c r="B84" s="6"/>
      <c r="C84" s="6"/>
      <c r="D84" s="6"/>
      <c r="E84" s="6"/>
      <c r="F84" s="6"/>
      <c r="G84" s="10"/>
      <c r="H84" s="6"/>
      <c r="I84" s="16"/>
      <c r="J84" s="8"/>
      <c r="K84" s="2" t="str">
        <f t="shared" si="5"/>
        <v/>
      </c>
      <c r="L84" s="3" t="str">
        <f t="shared" si="6"/>
        <v/>
      </c>
      <c r="M84" s="2" t="str">
        <f t="shared" si="7"/>
        <v/>
      </c>
      <c r="N84" t="str">
        <f t="shared" si="8"/>
        <v/>
      </c>
    </row>
    <row r="85" spans="1:14" ht="15.6" thickBot="1" x14ac:dyDescent="0.35">
      <c r="A85" s="6"/>
      <c r="G85" s="10"/>
      <c r="J85" s="8"/>
      <c r="K85" s="2" t="str">
        <f t="shared" si="5"/>
        <v/>
      </c>
      <c r="L85" s="3" t="str">
        <f t="shared" si="6"/>
        <v/>
      </c>
      <c r="M85" s="2" t="str">
        <f t="shared" si="7"/>
        <v/>
      </c>
      <c r="N85" t="str">
        <f t="shared" si="8"/>
        <v/>
      </c>
    </row>
    <row r="86" spans="1:14" ht="15.6" thickBot="1" x14ac:dyDescent="0.35">
      <c r="A86" s="6"/>
      <c r="G86" s="10"/>
      <c r="J86" s="8"/>
      <c r="K86" s="2" t="str">
        <f t="shared" si="5"/>
        <v/>
      </c>
      <c r="L86" s="3" t="str">
        <f t="shared" si="6"/>
        <v/>
      </c>
      <c r="M86" s="2" t="str">
        <f t="shared" si="7"/>
        <v/>
      </c>
      <c r="N86" t="str">
        <f t="shared" si="8"/>
        <v/>
      </c>
    </row>
    <row r="87" spans="1:14" ht="15.6" thickBot="1" x14ac:dyDescent="0.35">
      <c r="A87" s="6"/>
      <c r="B87" s="6"/>
      <c r="C87" s="6"/>
      <c r="D87" s="6"/>
      <c r="E87" s="6"/>
      <c r="F87" s="6"/>
      <c r="G87" s="10"/>
      <c r="H87" s="6"/>
      <c r="I87" s="16"/>
      <c r="J87" s="8"/>
      <c r="K87" s="2" t="str">
        <f t="shared" si="5"/>
        <v/>
      </c>
      <c r="L87" s="3" t="str">
        <f t="shared" si="6"/>
        <v/>
      </c>
      <c r="M87" s="2" t="str">
        <f t="shared" si="7"/>
        <v/>
      </c>
      <c r="N87" t="str">
        <f t="shared" si="8"/>
        <v/>
      </c>
    </row>
    <row r="88" spans="1:14" ht="15.6" thickBot="1" x14ac:dyDescent="0.35">
      <c r="A88" s="6"/>
      <c r="G88" s="10"/>
      <c r="J88" s="8"/>
      <c r="K88" s="2" t="str">
        <f t="shared" si="5"/>
        <v/>
      </c>
      <c r="L88" s="3" t="str">
        <f t="shared" si="6"/>
        <v/>
      </c>
      <c r="M88" s="2" t="str">
        <f t="shared" si="7"/>
        <v/>
      </c>
      <c r="N88" t="str">
        <f t="shared" si="8"/>
        <v/>
      </c>
    </row>
    <row r="89" spans="1:14" ht="15.6" thickBot="1" x14ac:dyDescent="0.35">
      <c r="A89" s="6"/>
      <c r="G89" s="10"/>
      <c r="J89" s="8"/>
      <c r="K89" s="2" t="str">
        <f t="shared" si="5"/>
        <v/>
      </c>
      <c r="L89" s="3" t="str">
        <f t="shared" si="6"/>
        <v/>
      </c>
      <c r="M89" s="2" t="str">
        <f t="shared" si="7"/>
        <v/>
      </c>
      <c r="N89" t="str">
        <f t="shared" si="8"/>
        <v/>
      </c>
    </row>
    <row r="90" spans="1:14" ht="15.6" thickBot="1" x14ac:dyDescent="0.35">
      <c r="A90" s="6"/>
      <c r="B90" s="6"/>
      <c r="C90" s="6"/>
      <c r="D90" s="6"/>
      <c r="E90" s="6"/>
      <c r="F90" s="6"/>
      <c r="G90" s="10"/>
      <c r="H90" s="6"/>
      <c r="I90" s="16"/>
      <c r="J90" s="8"/>
      <c r="K90" s="2" t="str">
        <f t="shared" si="5"/>
        <v/>
      </c>
      <c r="L90" s="3" t="str">
        <f t="shared" si="6"/>
        <v/>
      </c>
      <c r="M90" s="2" t="str">
        <f t="shared" si="7"/>
        <v/>
      </c>
      <c r="N90" t="str">
        <f t="shared" si="8"/>
        <v/>
      </c>
    </row>
    <row r="91" spans="1:14" ht="15.6" thickBot="1" x14ac:dyDescent="0.35">
      <c r="A91" s="6"/>
      <c r="G91" s="10"/>
      <c r="J91" s="8"/>
      <c r="K91" s="2" t="str">
        <f t="shared" si="5"/>
        <v/>
      </c>
      <c r="L91" s="3" t="str">
        <f t="shared" si="6"/>
        <v/>
      </c>
      <c r="M91" s="2" t="str">
        <f t="shared" si="7"/>
        <v/>
      </c>
      <c r="N91" t="str">
        <f t="shared" si="8"/>
        <v/>
      </c>
    </row>
    <row r="92" spans="1:14" ht="15.6" thickBot="1" x14ac:dyDescent="0.35">
      <c r="A92" s="6"/>
      <c r="G92" s="10"/>
      <c r="J92" s="8"/>
      <c r="K92" s="2" t="str">
        <f t="shared" si="5"/>
        <v/>
      </c>
      <c r="L92" s="3" t="str">
        <f t="shared" si="6"/>
        <v/>
      </c>
      <c r="M92" s="2" t="str">
        <f t="shared" si="7"/>
        <v/>
      </c>
      <c r="N92" t="str">
        <f t="shared" si="8"/>
        <v/>
      </c>
    </row>
    <row r="93" spans="1:14" ht="15.6" thickBot="1" x14ac:dyDescent="0.35">
      <c r="A93" s="6"/>
      <c r="B93" s="6"/>
      <c r="C93" s="6"/>
      <c r="D93" s="6"/>
      <c r="E93" s="6"/>
      <c r="F93" s="6"/>
      <c r="G93" s="10"/>
      <c r="H93" s="6"/>
      <c r="I93" s="16"/>
      <c r="J93" s="8"/>
      <c r="K93" s="2" t="str">
        <f t="shared" si="5"/>
        <v/>
      </c>
      <c r="L93" s="3" t="str">
        <f t="shared" si="6"/>
        <v/>
      </c>
      <c r="M93" s="2" t="str">
        <f t="shared" si="7"/>
        <v/>
      </c>
      <c r="N93" t="str">
        <f t="shared" si="8"/>
        <v/>
      </c>
    </row>
    <row r="94" spans="1:14" ht="15.6" thickBot="1" x14ac:dyDescent="0.35">
      <c r="A94" s="6"/>
      <c r="G94" s="10"/>
      <c r="J94" s="8"/>
      <c r="K94" s="2" t="str">
        <f t="shared" si="5"/>
        <v/>
      </c>
      <c r="L94" s="3" t="str">
        <f t="shared" si="6"/>
        <v/>
      </c>
      <c r="M94" s="2" t="str">
        <f t="shared" si="7"/>
        <v/>
      </c>
      <c r="N94" t="str">
        <f t="shared" si="8"/>
        <v/>
      </c>
    </row>
    <row r="95" spans="1:14" ht="15.6" thickBot="1" x14ac:dyDescent="0.35">
      <c r="A95" s="6"/>
      <c r="G95" s="10"/>
      <c r="J95" s="8"/>
      <c r="K95" s="2" t="str">
        <f t="shared" si="5"/>
        <v/>
      </c>
      <c r="L95" s="3" t="str">
        <f t="shared" si="6"/>
        <v/>
      </c>
      <c r="M95" s="2" t="str">
        <f t="shared" si="7"/>
        <v/>
      </c>
      <c r="N95" t="str">
        <f t="shared" si="8"/>
        <v/>
      </c>
    </row>
    <row r="96" spans="1:14" ht="15.6" thickBot="1" x14ac:dyDescent="0.35">
      <c r="A96" s="6"/>
      <c r="B96" s="6"/>
      <c r="C96" s="6"/>
      <c r="D96" s="6"/>
      <c r="E96" s="6"/>
      <c r="F96" s="6"/>
      <c r="G96" s="10"/>
      <c r="H96" s="6"/>
      <c r="I96" s="16"/>
      <c r="J96" s="8"/>
      <c r="K96" s="2" t="str">
        <f t="shared" si="5"/>
        <v/>
      </c>
      <c r="L96" s="3" t="str">
        <f t="shared" si="6"/>
        <v/>
      </c>
      <c r="M96" s="2" t="str">
        <f t="shared" si="7"/>
        <v/>
      </c>
      <c r="N96" t="str">
        <f t="shared" si="8"/>
        <v/>
      </c>
    </row>
    <row r="97" spans="1:14" ht="15.6" thickBot="1" x14ac:dyDescent="0.35">
      <c r="A97" s="6"/>
      <c r="G97" s="10"/>
      <c r="J97" s="8"/>
      <c r="K97" s="2" t="str">
        <f t="shared" si="5"/>
        <v/>
      </c>
      <c r="L97" s="3" t="str">
        <f t="shared" si="6"/>
        <v/>
      </c>
      <c r="M97" s="2" t="str">
        <f t="shared" si="7"/>
        <v/>
      </c>
      <c r="N97" t="str">
        <f t="shared" si="8"/>
        <v/>
      </c>
    </row>
    <row r="98" spans="1:14" ht="15.6" thickBot="1" x14ac:dyDescent="0.35">
      <c r="A98" s="6"/>
      <c r="G98" s="10"/>
      <c r="J98" s="8"/>
      <c r="K98" s="2" t="str">
        <f t="shared" si="5"/>
        <v/>
      </c>
      <c r="L98" s="3" t="str">
        <f t="shared" si="6"/>
        <v/>
      </c>
      <c r="M98" s="2" t="str">
        <f t="shared" si="7"/>
        <v/>
      </c>
      <c r="N98" t="str">
        <f t="shared" si="8"/>
        <v/>
      </c>
    </row>
    <row r="99" spans="1:14" ht="15.6" thickBot="1" x14ac:dyDescent="0.35">
      <c r="A99" s="6"/>
      <c r="B99" s="6"/>
      <c r="C99" s="6"/>
      <c r="D99" s="6"/>
      <c r="E99" s="6"/>
      <c r="F99" s="6"/>
      <c r="G99" s="10"/>
      <c r="H99" s="6"/>
      <c r="I99" s="16"/>
      <c r="J99" s="8"/>
      <c r="K99" s="2" t="str">
        <f t="shared" si="5"/>
        <v/>
      </c>
      <c r="L99" s="3" t="str">
        <f t="shared" si="6"/>
        <v/>
      </c>
      <c r="M99" s="2" t="str">
        <f t="shared" si="7"/>
        <v/>
      </c>
      <c r="N99" t="str">
        <f t="shared" si="8"/>
        <v/>
      </c>
    </row>
    <row r="100" spans="1:14" ht="15.6" thickBot="1" x14ac:dyDescent="0.35">
      <c r="A100" s="6"/>
      <c r="G100" s="10"/>
      <c r="J100" s="8"/>
      <c r="K100" s="2" t="str">
        <f t="shared" si="5"/>
        <v/>
      </c>
      <c r="L100" s="3" t="str">
        <f t="shared" si="6"/>
        <v/>
      </c>
      <c r="M100" s="2" t="str">
        <f t="shared" si="7"/>
        <v/>
      </c>
      <c r="N100" t="str">
        <f t="shared" si="8"/>
        <v/>
      </c>
    </row>
    <row r="101" spans="1:14" ht="15.6" thickBot="1" x14ac:dyDescent="0.35">
      <c r="A101" s="6"/>
      <c r="G101" s="10"/>
      <c r="J101" s="8"/>
      <c r="K101" s="2" t="str">
        <f t="shared" si="5"/>
        <v/>
      </c>
      <c r="L101" s="3" t="str">
        <f t="shared" si="6"/>
        <v/>
      </c>
      <c r="M101" s="2" t="str">
        <f t="shared" si="7"/>
        <v/>
      </c>
      <c r="N101" t="str">
        <f t="shared" si="8"/>
        <v/>
      </c>
    </row>
    <row r="102" spans="1:14" ht="15.6" thickBot="1" x14ac:dyDescent="0.35">
      <c r="A102" s="6"/>
      <c r="B102" s="6"/>
      <c r="C102" s="6"/>
      <c r="D102" s="6"/>
      <c r="E102" s="6"/>
      <c r="F102" s="6"/>
      <c r="G102" s="10"/>
      <c r="H102" s="6"/>
      <c r="I102" s="16"/>
      <c r="J102" s="8"/>
      <c r="K102" s="2" t="str">
        <f t="shared" si="5"/>
        <v/>
      </c>
      <c r="L102" s="3" t="str">
        <f t="shared" si="6"/>
        <v/>
      </c>
      <c r="M102" s="2" t="str">
        <f t="shared" si="7"/>
        <v/>
      </c>
      <c r="N102" t="str">
        <f t="shared" si="8"/>
        <v/>
      </c>
    </row>
    <row r="103" spans="1:14" ht="15.6" thickBot="1" x14ac:dyDescent="0.35">
      <c r="A103" s="6"/>
      <c r="G103" s="10"/>
      <c r="J103" s="8"/>
      <c r="K103" s="2" t="str">
        <f t="shared" si="5"/>
        <v/>
      </c>
      <c r="L103" s="3" t="str">
        <f t="shared" si="6"/>
        <v/>
      </c>
      <c r="M103" s="2" t="str">
        <f t="shared" si="7"/>
        <v/>
      </c>
      <c r="N103" t="str">
        <f t="shared" si="8"/>
        <v/>
      </c>
    </row>
    <row r="104" spans="1:14" ht="15.6" thickBot="1" x14ac:dyDescent="0.35">
      <c r="A104" s="6"/>
      <c r="G104" s="10"/>
      <c r="J104" s="8"/>
      <c r="K104" s="2" t="str">
        <f t="shared" si="5"/>
        <v/>
      </c>
      <c r="L104" s="3" t="str">
        <f t="shared" si="6"/>
        <v/>
      </c>
      <c r="M104" s="2" t="str">
        <f t="shared" si="7"/>
        <v/>
      </c>
      <c r="N104" t="str">
        <f t="shared" si="8"/>
        <v/>
      </c>
    </row>
    <row r="105" spans="1:14" ht="15.6" thickBot="1" x14ac:dyDescent="0.35">
      <c r="A105" s="6"/>
      <c r="B105" s="6"/>
      <c r="C105" s="6"/>
      <c r="D105" s="6"/>
      <c r="E105" s="6"/>
      <c r="F105" s="6"/>
      <c r="G105" s="10"/>
      <c r="H105" s="6"/>
      <c r="I105" s="16"/>
      <c r="J105" s="8"/>
      <c r="K105" s="2" t="str">
        <f t="shared" si="5"/>
        <v/>
      </c>
      <c r="L105" s="3" t="str">
        <f t="shared" si="6"/>
        <v/>
      </c>
      <c r="M105" s="2" t="str">
        <f t="shared" si="7"/>
        <v/>
      </c>
      <c r="N105" t="str">
        <f t="shared" si="8"/>
        <v/>
      </c>
    </row>
    <row r="106" spans="1:14" ht="15.6" thickBot="1" x14ac:dyDescent="0.35">
      <c r="A106" s="6"/>
      <c r="G106" s="10"/>
      <c r="J106" s="8"/>
      <c r="K106" s="2" t="str">
        <f t="shared" si="5"/>
        <v/>
      </c>
      <c r="L106" s="3" t="str">
        <f t="shared" si="6"/>
        <v/>
      </c>
      <c r="M106" s="2" t="str">
        <f t="shared" si="7"/>
        <v/>
      </c>
      <c r="N106" t="str">
        <f t="shared" si="8"/>
        <v/>
      </c>
    </row>
    <row r="107" spans="1:14" ht="15.6" thickBot="1" x14ac:dyDescent="0.35">
      <c r="A107" s="6"/>
      <c r="G107" s="10"/>
      <c r="J107" s="8"/>
      <c r="K107" s="2" t="str">
        <f t="shared" si="5"/>
        <v/>
      </c>
      <c r="L107" s="3" t="str">
        <f t="shared" si="6"/>
        <v/>
      </c>
      <c r="M107" s="2" t="str">
        <f t="shared" si="7"/>
        <v/>
      </c>
      <c r="N107" t="str">
        <f t="shared" si="8"/>
        <v/>
      </c>
    </row>
    <row r="108" spans="1:14" ht="15.6" thickBot="1" x14ac:dyDescent="0.35">
      <c r="A108" s="6"/>
      <c r="B108" s="6"/>
      <c r="C108" s="6"/>
      <c r="D108" s="6"/>
      <c r="E108" s="6"/>
      <c r="F108" s="6"/>
      <c r="G108" s="10"/>
      <c r="H108" s="6"/>
      <c r="I108" s="16"/>
      <c r="J108" s="8"/>
      <c r="K108" s="2" t="str">
        <f t="shared" si="5"/>
        <v/>
      </c>
      <c r="L108" s="3" t="str">
        <f t="shared" si="6"/>
        <v/>
      </c>
      <c r="M108" s="2" t="str">
        <f t="shared" si="7"/>
        <v/>
      </c>
      <c r="N108" t="str">
        <f t="shared" si="8"/>
        <v/>
      </c>
    </row>
    <row r="109" spans="1:14" ht="15.6" thickBot="1" x14ac:dyDescent="0.35">
      <c r="A109" s="6"/>
      <c r="G109" s="10"/>
      <c r="J109" s="8"/>
      <c r="K109" s="2" t="str">
        <f t="shared" si="5"/>
        <v/>
      </c>
      <c r="L109" s="3" t="str">
        <f t="shared" si="6"/>
        <v/>
      </c>
      <c r="M109" s="2" t="str">
        <f t="shared" si="7"/>
        <v/>
      </c>
      <c r="N109" t="str">
        <f t="shared" si="8"/>
        <v/>
      </c>
    </row>
    <row r="110" spans="1:14" ht="15.6" thickBot="1" x14ac:dyDescent="0.35">
      <c r="A110" s="6"/>
      <c r="G110" s="10"/>
      <c r="J110" s="8"/>
      <c r="K110" s="2" t="str">
        <f t="shared" si="5"/>
        <v/>
      </c>
      <c r="L110" s="3" t="str">
        <f t="shared" si="6"/>
        <v/>
      </c>
      <c r="M110" s="2" t="str">
        <f t="shared" si="7"/>
        <v/>
      </c>
      <c r="N110" t="str">
        <f t="shared" si="8"/>
        <v/>
      </c>
    </row>
    <row r="111" spans="1:14" ht="15.6" thickBot="1" x14ac:dyDescent="0.35">
      <c r="A111" s="6"/>
      <c r="B111" s="6"/>
      <c r="C111" s="6"/>
      <c r="D111" s="6"/>
      <c r="E111" s="6"/>
      <c r="F111" s="6"/>
      <c r="G111" s="10"/>
      <c r="H111" s="6"/>
      <c r="I111" s="16"/>
      <c r="J111" s="8"/>
      <c r="K111" s="2" t="str">
        <f t="shared" si="5"/>
        <v/>
      </c>
      <c r="L111" s="3" t="str">
        <f t="shared" si="6"/>
        <v/>
      </c>
      <c r="M111" s="2" t="str">
        <f t="shared" si="7"/>
        <v/>
      </c>
      <c r="N111" t="str">
        <f t="shared" si="8"/>
        <v/>
      </c>
    </row>
    <row r="112" spans="1:14" ht="15.6" thickBot="1" x14ac:dyDescent="0.35">
      <c r="A112" s="6"/>
      <c r="B112" s="6"/>
      <c r="C112" s="6"/>
      <c r="D112" s="6"/>
      <c r="E112" s="6"/>
      <c r="F112" s="6"/>
      <c r="G112" s="10"/>
      <c r="H112" s="6"/>
      <c r="I112" s="16"/>
      <c r="J112" s="8"/>
      <c r="K112" s="2" t="str">
        <f t="shared" si="5"/>
        <v/>
      </c>
      <c r="L112" s="3" t="str">
        <f t="shared" si="6"/>
        <v/>
      </c>
      <c r="M112" s="2" t="str">
        <f t="shared" si="7"/>
        <v/>
      </c>
      <c r="N112" t="str">
        <f t="shared" si="8"/>
        <v/>
      </c>
    </row>
    <row r="113" spans="1:14" ht="15.6" thickBot="1" x14ac:dyDescent="0.35">
      <c r="A113" s="6"/>
      <c r="G113" s="10"/>
      <c r="J113" s="8"/>
      <c r="K113" s="2" t="str">
        <f t="shared" si="5"/>
        <v/>
      </c>
      <c r="L113" s="3" t="str">
        <f t="shared" si="6"/>
        <v/>
      </c>
      <c r="M113" s="2" t="str">
        <f t="shared" si="7"/>
        <v/>
      </c>
      <c r="N113" t="str">
        <f t="shared" si="8"/>
        <v/>
      </c>
    </row>
    <row r="114" spans="1:14" ht="15.6" thickBot="1" x14ac:dyDescent="0.35">
      <c r="A114" s="6"/>
      <c r="G114" s="10"/>
      <c r="J114" s="8"/>
      <c r="K114" s="2" t="str">
        <f t="shared" si="5"/>
        <v/>
      </c>
      <c r="L114" s="3" t="str">
        <f t="shared" si="6"/>
        <v/>
      </c>
      <c r="M114" s="2" t="str">
        <f t="shared" si="7"/>
        <v/>
      </c>
      <c r="N114" t="str">
        <f t="shared" si="8"/>
        <v/>
      </c>
    </row>
    <row r="115" spans="1:14" ht="15.6" thickBot="1" x14ac:dyDescent="0.35">
      <c r="G115" s="10"/>
      <c r="J115" s="8"/>
      <c r="K115" s="2" t="str">
        <f t="shared" si="5"/>
        <v/>
      </c>
      <c r="L115" s="3" t="str">
        <f t="shared" si="6"/>
        <v/>
      </c>
      <c r="M115" s="2" t="str">
        <f t="shared" si="7"/>
        <v/>
      </c>
      <c r="N115" t="str">
        <f t="shared" si="8"/>
        <v/>
      </c>
    </row>
    <row r="116" spans="1:14" ht="15.6" thickBot="1" x14ac:dyDescent="0.35">
      <c r="G116" s="10"/>
      <c r="J116" s="8"/>
      <c r="K116" s="2" t="str">
        <f t="shared" si="5"/>
        <v/>
      </c>
      <c r="L116" s="3" t="str">
        <f t="shared" si="6"/>
        <v/>
      </c>
      <c r="M116" s="2" t="str">
        <f t="shared" si="7"/>
        <v/>
      </c>
      <c r="N116" t="str">
        <f t="shared" si="8"/>
        <v/>
      </c>
    </row>
    <row r="117" spans="1:14" ht="15.6" thickBot="1" x14ac:dyDescent="0.35">
      <c r="G117" s="10"/>
      <c r="J117" s="8"/>
      <c r="K117" s="2" t="str">
        <f t="shared" si="5"/>
        <v/>
      </c>
      <c r="L117" s="3" t="str">
        <f t="shared" si="6"/>
        <v/>
      </c>
      <c r="M117" s="2" t="str">
        <f t="shared" si="7"/>
        <v/>
      </c>
      <c r="N117" t="str">
        <f t="shared" si="8"/>
        <v/>
      </c>
    </row>
    <row r="118" spans="1:14" ht="15.6" thickBot="1" x14ac:dyDescent="0.35">
      <c r="G118" s="10"/>
      <c r="J118" s="8"/>
      <c r="K118" s="2" t="str">
        <f t="shared" si="5"/>
        <v/>
      </c>
      <c r="L118" s="3" t="str">
        <f t="shared" si="6"/>
        <v/>
      </c>
      <c r="M118" s="2" t="str">
        <f t="shared" si="7"/>
        <v/>
      </c>
      <c r="N118" t="str">
        <f t="shared" si="8"/>
        <v/>
      </c>
    </row>
    <row r="119" spans="1:14" ht="15.6" thickBot="1" x14ac:dyDescent="0.35">
      <c r="G119" s="10"/>
      <c r="J119" s="8"/>
      <c r="K119" s="2" t="str">
        <f t="shared" si="5"/>
        <v/>
      </c>
      <c r="L119" s="3" t="str">
        <f t="shared" si="6"/>
        <v/>
      </c>
      <c r="M119" s="2" t="str">
        <f t="shared" si="7"/>
        <v/>
      </c>
      <c r="N119" t="str">
        <f t="shared" si="8"/>
        <v/>
      </c>
    </row>
    <row r="120" spans="1:14" ht="15.6" thickBot="1" x14ac:dyDescent="0.35">
      <c r="G120" s="10"/>
      <c r="J120" s="8"/>
      <c r="K120" s="2" t="str">
        <f t="shared" si="5"/>
        <v/>
      </c>
      <c r="L120" s="3" t="str">
        <f t="shared" si="6"/>
        <v/>
      </c>
      <c r="M120" s="2" t="str">
        <f t="shared" si="7"/>
        <v/>
      </c>
      <c r="N120" t="str">
        <f t="shared" si="8"/>
        <v/>
      </c>
    </row>
    <row r="121" spans="1:14" ht="15.6" thickBot="1" x14ac:dyDescent="0.35">
      <c r="G121" s="10"/>
      <c r="J121" s="8"/>
      <c r="K121" s="2" t="str">
        <f t="shared" si="5"/>
        <v/>
      </c>
      <c r="L121" s="3" t="str">
        <f t="shared" si="6"/>
        <v/>
      </c>
      <c r="M121" s="2" t="str">
        <f t="shared" si="7"/>
        <v/>
      </c>
      <c r="N121" t="str">
        <f t="shared" si="8"/>
        <v/>
      </c>
    </row>
    <row r="122" spans="1:14" ht="15.6" thickBot="1" x14ac:dyDescent="0.35">
      <c r="G122" s="10"/>
      <c r="J122" s="8"/>
      <c r="K122" s="2" t="str">
        <f t="shared" si="5"/>
        <v/>
      </c>
      <c r="L122" s="3" t="str">
        <f t="shared" si="6"/>
        <v/>
      </c>
      <c r="M122" s="2" t="str">
        <f t="shared" si="7"/>
        <v/>
      </c>
      <c r="N122" t="str">
        <f t="shared" si="8"/>
        <v/>
      </c>
    </row>
    <row r="123" spans="1:14" ht="15.6" thickBot="1" x14ac:dyDescent="0.35">
      <c r="G123" s="10"/>
      <c r="J123" s="8"/>
      <c r="K123" s="2" t="str">
        <f t="shared" si="5"/>
        <v/>
      </c>
      <c r="L123" s="3" t="str">
        <f t="shared" si="6"/>
        <v/>
      </c>
      <c r="M123" s="2" t="str">
        <f t="shared" si="7"/>
        <v/>
      </c>
      <c r="N123" t="str">
        <f t="shared" si="8"/>
        <v/>
      </c>
    </row>
    <row r="124" spans="1:14" ht="15.6" thickBot="1" x14ac:dyDescent="0.35">
      <c r="G124" s="10"/>
      <c r="J124" s="8"/>
      <c r="K124" s="2" t="str">
        <f t="shared" si="5"/>
        <v/>
      </c>
      <c r="L124" s="3" t="str">
        <f t="shared" si="6"/>
        <v/>
      </c>
      <c r="M124" s="2" t="str">
        <f t="shared" si="7"/>
        <v/>
      </c>
      <c r="N124" t="str">
        <f t="shared" si="8"/>
        <v/>
      </c>
    </row>
    <row r="125" spans="1:14" ht="15.6" thickBot="1" x14ac:dyDescent="0.35">
      <c r="G125" s="10"/>
      <c r="J125" s="8"/>
      <c r="K125" s="2" t="str">
        <f t="shared" si="5"/>
        <v/>
      </c>
      <c r="L125" s="3" t="str">
        <f t="shared" si="6"/>
        <v/>
      </c>
      <c r="M125" s="2" t="str">
        <f t="shared" si="7"/>
        <v/>
      </c>
      <c r="N125" t="str">
        <f t="shared" si="8"/>
        <v/>
      </c>
    </row>
    <row r="126" spans="1:14" ht="15.6" thickBot="1" x14ac:dyDescent="0.35">
      <c r="G126" s="10"/>
      <c r="J126" s="8"/>
      <c r="K126" s="2" t="str">
        <f t="shared" si="5"/>
        <v/>
      </c>
      <c r="L126" s="3" t="str">
        <f t="shared" si="6"/>
        <v/>
      </c>
      <c r="M126" s="2" t="str">
        <f t="shared" si="7"/>
        <v/>
      </c>
      <c r="N126" t="str">
        <f t="shared" si="8"/>
        <v/>
      </c>
    </row>
    <row r="127" spans="1:14" ht="15.6" thickBot="1" x14ac:dyDescent="0.35">
      <c r="G127" s="10"/>
      <c r="J127" s="8"/>
      <c r="K127" s="2" t="str">
        <f t="shared" si="5"/>
        <v/>
      </c>
      <c r="L127" s="3" t="str">
        <f t="shared" si="6"/>
        <v/>
      </c>
      <c r="M127" s="2" t="str">
        <f t="shared" si="7"/>
        <v/>
      </c>
      <c r="N127" t="str">
        <f t="shared" si="8"/>
        <v/>
      </c>
    </row>
    <row r="128" spans="1:14" ht="15.6" thickBot="1" x14ac:dyDescent="0.35">
      <c r="G128" s="10"/>
      <c r="J128" s="8"/>
      <c r="K128" s="2" t="str">
        <f t="shared" si="5"/>
        <v/>
      </c>
      <c r="L128" s="3" t="str">
        <f t="shared" si="6"/>
        <v/>
      </c>
      <c r="M128" s="2" t="str">
        <f t="shared" si="7"/>
        <v/>
      </c>
      <c r="N128" t="str">
        <f t="shared" si="8"/>
        <v/>
      </c>
    </row>
    <row r="129" spans="7:14" ht="15.6" thickBot="1" x14ac:dyDescent="0.35">
      <c r="G129" s="10"/>
      <c r="J129" s="8"/>
      <c r="K129" s="2" t="str">
        <f t="shared" si="5"/>
        <v/>
      </c>
      <c r="L129" s="3" t="str">
        <f t="shared" si="6"/>
        <v/>
      </c>
      <c r="M129" s="2" t="str">
        <f t="shared" si="7"/>
        <v/>
      </c>
      <c r="N129" t="str">
        <f t="shared" si="8"/>
        <v/>
      </c>
    </row>
    <row r="130" spans="7:14" ht="15.6" thickBot="1" x14ac:dyDescent="0.35">
      <c r="G130" s="10"/>
      <c r="J130" s="8"/>
      <c r="K130" s="2" t="str">
        <f t="shared" si="5"/>
        <v/>
      </c>
      <c r="L130" s="3" t="str">
        <f t="shared" si="6"/>
        <v/>
      </c>
      <c r="M130" s="2" t="str">
        <f t="shared" si="7"/>
        <v/>
      </c>
      <c r="N130" t="str">
        <f t="shared" si="8"/>
        <v/>
      </c>
    </row>
    <row r="131" spans="7:14" ht="15.6" thickBot="1" x14ac:dyDescent="0.35">
      <c r="G131" s="10"/>
      <c r="J131" s="8"/>
      <c r="K131" s="2" t="str">
        <f t="shared" si="5"/>
        <v/>
      </c>
      <c r="L131" s="3" t="str">
        <f t="shared" si="6"/>
        <v/>
      </c>
      <c r="M131" s="2" t="str">
        <f t="shared" si="7"/>
        <v/>
      </c>
      <c r="N131" t="str">
        <f t="shared" si="8"/>
        <v/>
      </c>
    </row>
    <row r="132" spans="7:14" ht="15.6" thickBot="1" x14ac:dyDescent="0.35">
      <c r="G132" s="10"/>
      <c r="J132" s="8"/>
      <c r="K132" s="2" t="str">
        <f t="shared" si="5"/>
        <v/>
      </c>
      <c r="L132" s="3" t="str">
        <f t="shared" si="6"/>
        <v/>
      </c>
      <c r="M132" s="2" t="str">
        <f t="shared" si="7"/>
        <v/>
      </c>
      <c r="N132" t="str">
        <f t="shared" si="8"/>
        <v/>
      </c>
    </row>
    <row r="133" spans="7:14" ht="15.6" thickBot="1" x14ac:dyDescent="0.35">
      <c r="G133" s="10"/>
      <c r="J133" s="8"/>
      <c r="K133" s="2" t="str">
        <f t="shared" ref="K133:K196" si="9">SUBSTITUTE(I133,CHAR(10),"&lt;br&gt;")</f>
        <v/>
      </c>
      <c r="L133" s="3" t="str">
        <f t="shared" ref="L133:L196" si="10">IF(B133="","","{"&amp;$M$1&amp;"no"&amp;$M$1&amp;":"&amp;$M$1&amp;""&amp;B133&amp;""&amp;$M$1&amp;","&amp;$M$1&amp;"name"&amp;$M$1&amp;":"&amp;$M$1&amp;""&amp;C133&amp;""&amp;$M$1&amp;","&amp;$M$1&amp;"category"&amp;$M$1&amp;":"&amp;$M$1&amp;""&amp;D133&amp;""&amp;$M$1&amp;","&amp;$M$1&amp;"price"&amp;$M$1&amp;":"&amp;E133&amp;","&amp;$M$1&amp;"quantity"&amp;$M$1&amp;":"&amp;F133&amp;","&amp;$M$1&amp;"discount"&amp;$M$1&amp;":"&amp;G133*100&amp;","&amp;$M$1&amp;"images"&amp;$M$1&amp;":"&amp;$M$1&amp;""&amp;H133&amp;""&amp;$M$1&amp;","&amp;$M$1&amp;"description"&amp;$M$1&amp;":"&amp;$M$1&amp;""&amp;K133&amp;""&amp;$M$1&amp;"}")</f>
        <v/>
      </c>
      <c r="M133" s="2" t="str">
        <f t="shared" ref="M133:M196" si="11">IF(L134="","",",")</f>
        <v/>
      </c>
      <c r="N133" t="str">
        <f t="shared" si="8"/>
        <v/>
      </c>
    </row>
    <row r="134" spans="7:14" ht="15.6" thickBot="1" x14ac:dyDescent="0.35">
      <c r="G134" s="10"/>
      <c r="J134" s="8"/>
      <c r="K134" s="2" t="str">
        <f t="shared" si="9"/>
        <v/>
      </c>
      <c r="L134" s="3" t="str">
        <f t="shared" si="10"/>
        <v/>
      </c>
      <c r="M134" s="2" t="str">
        <f t="shared" si="11"/>
        <v/>
      </c>
      <c r="N134" t="str">
        <f t="shared" si="8"/>
        <v/>
      </c>
    </row>
    <row r="135" spans="7:14" ht="15.6" thickBot="1" x14ac:dyDescent="0.35">
      <c r="G135" s="10"/>
      <c r="J135" s="8"/>
      <c r="K135" s="2" t="str">
        <f t="shared" si="9"/>
        <v/>
      </c>
      <c r="L135" s="3" t="str">
        <f t="shared" si="10"/>
        <v/>
      </c>
      <c r="M135" s="2" t="str">
        <f t="shared" si="11"/>
        <v/>
      </c>
      <c r="N135" t="str">
        <f t="shared" si="8"/>
        <v/>
      </c>
    </row>
    <row r="136" spans="7:14" ht="15.6" thickBot="1" x14ac:dyDescent="0.35">
      <c r="G136" s="10"/>
      <c r="J136" s="8"/>
      <c r="K136" s="2" t="str">
        <f t="shared" si="9"/>
        <v/>
      </c>
      <c r="L136" s="3" t="str">
        <f t="shared" si="10"/>
        <v/>
      </c>
      <c r="M136" s="2" t="str">
        <f t="shared" si="11"/>
        <v/>
      </c>
      <c r="N136" t="str">
        <f t="shared" si="8"/>
        <v/>
      </c>
    </row>
    <row r="137" spans="7:14" ht="15.6" thickBot="1" x14ac:dyDescent="0.35">
      <c r="G137" s="10"/>
      <c r="J137" s="8"/>
      <c r="K137" s="2" t="str">
        <f t="shared" si="9"/>
        <v/>
      </c>
      <c r="L137" s="3" t="str">
        <f t="shared" si="10"/>
        <v/>
      </c>
      <c r="M137" s="2" t="str">
        <f t="shared" si="11"/>
        <v/>
      </c>
      <c r="N137" t="str">
        <f t="shared" ref="N137:N200" si="12">_xlfn.CONCAT(L137,M137)</f>
        <v/>
      </c>
    </row>
    <row r="138" spans="7:14" ht="15.6" thickBot="1" x14ac:dyDescent="0.35">
      <c r="G138" s="10"/>
      <c r="J138" s="8"/>
      <c r="K138" s="2" t="str">
        <f t="shared" si="9"/>
        <v/>
      </c>
      <c r="L138" s="3" t="str">
        <f t="shared" si="10"/>
        <v/>
      </c>
      <c r="M138" s="2" t="str">
        <f t="shared" si="11"/>
        <v/>
      </c>
      <c r="N138" t="str">
        <f t="shared" si="12"/>
        <v/>
      </c>
    </row>
    <row r="139" spans="7:14" ht="15.6" thickBot="1" x14ac:dyDescent="0.35">
      <c r="G139" s="10"/>
      <c r="J139" s="8"/>
      <c r="K139" s="2" t="str">
        <f t="shared" si="9"/>
        <v/>
      </c>
      <c r="L139" s="3" t="str">
        <f t="shared" si="10"/>
        <v/>
      </c>
      <c r="M139" s="2" t="str">
        <f t="shared" si="11"/>
        <v/>
      </c>
      <c r="N139" t="str">
        <f t="shared" si="12"/>
        <v/>
      </c>
    </row>
    <row r="140" spans="7:14" ht="15.6" thickBot="1" x14ac:dyDescent="0.35">
      <c r="G140" s="10"/>
      <c r="J140" s="8"/>
      <c r="K140" s="2" t="str">
        <f t="shared" si="9"/>
        <v/>
      </c>
      <c r="L140" s="3" t="str">
        <f t="shared" si="10"/>
        <v/>
      </c>
      <c r="M140" s="2" t="str">
        <f t="shared" si="11"/>
        <v/>
      </c>
      <c r="N140" t="str">
        <f t="shared" si="12"/>
        <v/>
      </c>
    </row>
    <row r="141" spans="7:14" ht="15.6" thickBot="1" x14ac:dyDescent="0.35">
      <c r="G141" s="10"/>
      <c r="J141" s="8"/>
      <c r="K141" s="2" t="str">
        <f t="shared" si="9"/>
        <v/>
      </c>
      <c r="L141" s="3" t="str">
        <f t="shared" si="10"/>
        <v/>
      </c>
      <c r="M141" s="2" t="str">
        <f t="shared" si="11"/>
        <v/>
      </c>
      <c r="N141" t="str">
        <f t="shared" si="12"/>
        <v/>
      </c>
    </row>
    <row r="142" spans="7:14" ht="15.6" thickBot="1" x14ac:dyDescent="0.35">
      <c r="G142" s="10"/>
      <c r="J142" s="8"/>
      <c r="K142" s="2" t="str">
        <f t="shared" si="9"/>
        <v/>
      </c>
      <c r="L142" s="3" t="str">
        <f t="shared" si="10"/>
        <v/>
      </c>
      <c r="M142" s="2" t="str">
        <f t="shared" si="11"/>
        <v/>
      </c>
      <c r="N142" t="str">
        <f t="shared" si="12"/>
        <v/>
      </c>
    </row>
    <row r="143" spans="7:14" ht="15.6" thickBot="1" x14ac:dyDescent="0.35">
      <c r="G143" s="10"/>
      <c r="J143" s="8"/>
      <c r="K143" s="2" t="str">
        <f t="shared" si="9"/>
        <v/>
      </c>
      <c r="L143" s="3" t="str">
        <f t="shared" si="10"/>
        <v/>
      </c>
      <c r="M143" s="2" t="str">
        <f t="shared" si="11"/>
        <v/>
      </c>
      <c r="N143" t="str">
        <f t="shared" si="12"/>
        <v/>
      </c>
    </row>
    <row r="144" spans="7:14" ht="15.6" thickBot="1" x14ac:dyDescent="0.35">
      <c r="G144" s="10"/>
      <c r="J144" s="8"/>
      <c r="K144" s="2" t="str">
        <f t="shared" si="9"/>
        <v/>
      </c>
      <c r="L144" s="3" t="str">
        <f t="shared" si="10"/>
        <v/>
      </c>
      <c r="M144" s="2" t="str">
        <f t="shared" si="11"/>
        <v/>
      </c>
      <c r="N144" t="str">
        <f t="shared" si="12"/>
        <v/>
      </c>
    </row>
    <row r="145" spans="7:14" ht="15.6" thickBot="1" x14ac:dyDescent="0.35">
      <c r="G145" s="10"/>
      <c r="J145" s="8"/>
      <c r="K145" s="2" t="str">
        <f t="shared" si="9"/>
        <v/>
      </c>
      <c r="L145" s="3" t="str">
        <f t="shared" si="10"/>
        <v/>
      </c>
      <c r="M145" s="2" t="str">
        <f t="shared" si="11"/>
        <v/>
      </c>
      <c r="N145" t="str">
        <f t="shared" si="12"/>
        <v/>
      </c>
    </row>
    <row r="146" spans="7:14" ht="15.6" thickBot="1" x14ac:dyDescent="0.35">
      <c r="G146" s="10"/>
      <c r="J146" s="8"/>
      <c r="K146" s="2" t="str">
        <f t="shared" si="9"/>
        <v/>
      </c>
      <c r="L146" s="3" t="str">
        <f t="shared" si="10"/>
        <v/>
      </c>
      <c r="M146" s="2" t="str">
        <f t="shared" si="11"/>
        <v/>
      </c>
      <c r="N146" t="str">
        <f t="shared" si="12"/>
        <v/>
      </c>
    </row>
    <row r="147" spans="7:14" ht="15.6" thickBot="1" x14ac:dyDescent="0.35">
      <c r="G147" s="10"/>
      <c r="J147" s="8"/>
      <c r="K147" s="2" t="str">
        <f t="shared" si="9"/>
        <v/>
      </c>
      <c r="L147" s="3" t="str">
        <f t="shared" si="10"/>
        <v/>
      </c>
      <c r="M147" s="2" t="str">
        <f t="shared" si="11"/>
        <v/>
      </c>
      <c r="N147" t="str">
        <f t="shared" si="12"/>
        <v/>
      </c>
    </row>
    <row r="148" spans="7:14" ht="15.6" thickBot="1" x14ac:dyDescent="0.35">
      <c r="G148" s="10"/>
      <c r="J148" s="8"/>
      <c r="K148" s="2" t="str">
        <f t="shared" si="9"/>
        <v/>
      </c>
      <c r="L148" s="3" t="str">
        <f t="shared" si="10"/>
        <v/>
      </c>
      <c r="M148" s="2" t="str">
        <f t="shared" si="11"/>
        <v/>
      </c>
      <c r="N148" t="str">
        <f t="shared" si="12"/>
        <v/>
      </c>
    </row>
    <row r="149" spans="7:14" ht="15.6" thickBot="1" x14ac:dyDescent="0.35">
      <c r="G149" s="10"/>
      <c r="J149" s="8"/>
      <c r="K149" s="2" t="str">
        <f t="shared" si="9"/>
        <v/>
      </c>
      <c r="L149" s="3" t="str">
        <f t="shared" si="10"/>
        <v/>
      </c>
      <c r="M149" s="2" t="str">
        <f t="shared" si="11"/>
        <v/>
      </c>
      <c r="N149" t="str">
        <f t="shared" si="12"/>
        <v/>
      </c>
    </row>
    <row r="150" spans="7:14" ht="15.6" thickBot="1" x14ac:dyDescent="0.35">
      <c r="G150" s="10"/>
      <c r="J150" s="8"/>
      <c r="K150" s="2" t="str">
        <f t="shared" si="9"/>
        <v/>
      </c>
      <c r="L150" s="3" t="str">
        <f t="shared" si="10"/>
        <v/>
      </c>
      <c r="M150" s="2" t="str">
        <f t="shared" si="11"/>
        <v/>
      </c>
      <c r="N150" t="str">
        <f t="shared" si="12"/>
        <v/>
      </c>
    </row>
    <row r="151" spans="7:14" ht="15.6" thickBot="1" x14ac:dyDescent="0.35">
      <c r="G151" s="10"/>
      <c r="J151" s="8"/>
      <c r="K151" s="2" t="str">
        <f t="shared" si="9"/>
        <v/>
      </c>
      <c r="L151" s="3" t="str">
        <f t="shared" si="10"/>
        <v/>
      </c>
      <c r="M151" s="2" t="str">
        <f t="shared" si="11"/>
        <v/>
      </c>
      <c r="N151" t="str">
        <f t="shared" si="12"/>
        <v/>
      </c>
    </row>
    <row r="152" spans="7:14" ht="15.6" thickBot="1" x14ac:dyDescent="0.35">
      <c r="G152" s="10"/>
      <c r="J152" s="8"/>
      <c r="K152" s="2" t="str">
        <f t="shared" si="9"/>
        <v/>
      </c>
      <c r="L152" s="3" t="str">
        <f t="shared" si="10"/>
        <v/>
      </c>
      <c r="M152" s="2" t="str">
        <f t="shared" si="11"/>
        <v/>
      </c>
      <c r="N152" t="str">
        <f t="shared" si="12"/>
        <v/>
      </c>
    </row>
    <row r="153" spans="7:14" ht="15.6" thickBot="1" x14ac:dyDescent="0.35">
      <c r="G153" s="10"/>
      <c r="J153" s="8"/>
      <c r="K153" s="2" t="str">
        <f t="shared" si="9"/>
        <v/>
      </c>
      <c r="L153" s="3" t="str">
        <f t="shared" si="10"/>
        <v/>
      </c>
      <c r="M153" s="2" t="str">
        <f t="shared" si="11"/>
        <v/>
      </c>
      <c r="N153" t="str">
        <f t="shared" si="12"/>
        <v/>
      </c>
    </row>
    <row r="154" spans="7:14" ht="15.6" thickBot="1" x14ac:dyDescent="0.35">
      <c r="G154" s="10"/>
      <c r="J154" s="8"/>
      <c r="K154" s="2" t="str">
        <f t="shared" si="9"/>
        <v/>
      </c>
      <c r="L154" s="3" t="str">
        <f t="shared" si="10"/>
        <v/>
      </c>
      <c r="M154" s="2" t="str">
        <f t="shared" si="11"/>
        <v/>
      </c>
      <c r="N154" t="str">
        <f t="shared" si="12"/>
        <v/>
      </c>
    </row>
    <row r="155" spans="7:14" ht="15.6" thickBot="1" x14ac:dyDescent="0.35">
      <c r="G155" s="10"/>
      <c r="J155" s="8"/>
      <c r="K155" s="2" t="str">
        <f t="shared" si="9"/>
        <v/>
      </c>
      <c r="L155" s="3" t="str">
        <f t="shared" si="10"/>
        <v/>
      </c>
      <c r="M155" s="2" t="str">
        <f t="shared" si="11"/>
        <v/>
      </c>
      <c r="N155" t="str">
        <f t="shared" si="12"/>
        <v/>
      </c>
    </row>
    <row r="156" spans="7:14" ht="15.6" thickBot="1" x14ac:dyDescent="0.35">
      <c r="G156" s="10"/>
      <c r="J156" s="8"/>
      <c r="K156" s="2" t="str">
        <f t="shared" si="9"/>
        <v/>
      </c>
      <c r="L156" s="3" t="str">
        <f t="shared" si="10"/>
        <v/>
      </c>
      <c r="M156" s="2" t="str">
        <f t="shared" si="11"/>
        <v/>
      </c>
      <c r="N156" t="str">
        <f t="shared" si="12"/>
        <v/>
      </c>
    </row>
    <row r="157" spans="7:14" ht="15.6" thickBot="1" x14ac:dyDescent="0.35">
      <c r="G157" s="10"/>
      <c r="J157" s="8"/>
      <c r="K157" s="2" t="str">
        <f t="shared" si="9"/>
        <v/>
      </c>
      <c r="L157" s="3" t="str">
        <f t="shared" si="10"/>
        <v/>
      </c>
      <c r="M157" s="2" t="str">
        <f t="shared" si="11"/>
        <v/>
      </c>
      <c r="N157" t="str">
        <f t="shared" si="12"/>
        <v/>
      </c>
    </row>
    <row r="158" spans="7:14" ht="15.6" thickBot="1" x14ac:dyDescent="0.35">
      <c r="G158" s="10"/>
      <c r="J158" s="8"/>
      <c r="K158" s="2" t="str">
        <f t="shared" si="9"/>
        <v/>
      </c>
      <c r="L158" s="3" t="str">
        <f t="shared" si="10"/>
        <v/>
      </c>
      <c r="M158" s="2" t="str">
        <f t="shared" si="11"/>
        <v/>
      </c>
      <c r="N158" t="str">
        <f t="shared" si="12"/>
        <v/>
      </c>
    </row>
    <row r="159" spans="7:14" ht="15.6" thickBot="1" x14ac:dyDescent="0.35">
      <c r="G159" s="10"/>
      <c r="J159" s="8"/>
      <c r="K159" s="2" t="str">
        <f t="shared" si="9"/>
        <v/>
      </c>
      <c r="L159" s="3" t="str">
        <f t="shared" si="10"/>
        <v/>
      </c>
      <c r="M159" s="2" t="str">
        <f t="shared" si="11"/>
        <v/>
      </c>
      <c r="N159" t="str">
        <f t="shared" si="12"/>
        <v/>
      </c>
    </row>
    <row r="160" spans="7:14" ht="15.6" thickBot="1" x14ac:dyDescent="0.35">
      <c r="G160" s="10"/>
      <c r="J160" s="8"/>
      <c r="K160" s="2" t="str">
        <f t="shared" si="9"/>
        <v/>
      </c>
      <c r="L160" s="3" t="str">
        <f t="shared" si="10"/>
        <v/>
      </c>
      <c r="M160" s="2" t="str">
        <f t="shared" si="11"/>
        <v/>
      </c>
      <c r="N160" t="str">
        <f t="shared" si="12"/>
        <v/>
      </c>
    </row>
    <row r="161" spans="7:14" ht="15.6" thickBot="1" x14ac:dyDescent="0.35">
      <c r="G161" s="10"/>
      <c r="J161" s="8"/>
      <c r="K161" s="2" t="str">
        <f t="shared" si="9"/>
        <v/>
      </c>
      <c r="L161" s="3" t="str">
        <f t="shared" si="10"/>
        <v/>
      </c>
      <c r="M161" s="2" t="str">
        <f t="shared" si="11"/>
        <v/>
      </c>
      <c r="N161" t="str">
        <f t="shared" si="12"/>
        <v/>
      </c>
    </row>
    <row r="162" spans="7:14" ht="15.6" thickBot="1" x14ac:dyDescent="0.35">
      <c r="G162" s="10"/>
      <c r="J162" s="8"/>
      <c r="K162" s="2" t="str">
        <f t="shared" si="9"/>
        <v/>
      </c>
      <c r="L162" s="3" t="str">
        <f t="shared" si="10"/>
        <v/>
      </c>
      <c r="M162" s="2" t="str">
        <f t="shared" si="11"/>
        <v/>
      </c>
      <c r="N162" t="str">
        <f t="shared" si="12"/>
        <v/>
      </c>
    </row>
    <row r="163" spans="7:14" ht="15.6" thickBot="1" x14ac:dyDescent="0.35">
      <c r="G163" s="10"/>
      <c r="J163" s="8"/>
      <c r="K163" s="2" t="str">
        <f t="shared" si="9"/>
        <v/>
      </c>
      <c r="L163" s="3" t="str">
        <f t="shared" si="10"/>
        <v/>
      </c>
      <c r="M163" s="2" t="str">
        <f t="shared" si="11"/>
        <v/>
      </c>
      <c r="N163" t="str">
        <f t="shared" si="12"/>
        <v/>
      </c>
    </row>
    <row r="164" spans="7:14" ht="15.6" thickBot="1" x14ac:dyDescent="0.35">
      <c r="G164" s="10"/>
      <c r="J164" s="8"/>
      <c r="K164" s="2" t="str">
        <f t="shared" si="9"/>
        <v/>
      </c>
      <c r="L164" s="3" t="str">
        <f t="shared" si="10"/>
        <v/>
      </c>
      <c r="M164" s="2" t="str">
        <f t="shared" si="11"/>
        <v/>
      </c>
      <c r="N164" t="str">
        <f t="shared" si="12"/>
        <v/>
      </c>
    </row>
    <row r="165" spans="7:14" ht="15.6" thickBot="1" x14ac:dyDescent="0.35">
      <c r="G165" s="10"/>
      <c r="J165" s="8"/>
      <c r="K165" s="2" t="str">
        <f t="shared" si="9"/>
        <v/>
      </c>
      <c r="L165" s="3" t="str">
        <f t="shared" si="10"/>
        <v/>
      </c>
      <c r="M165" s="2" t="str">
        <f t="shared" si="11"/>
        <v/>
      </c>
      <c r="N165" t="str">
        <f t="shared" si="12"/>
        <v/>
      </c>
    </row>
    <row r="166" spans="7:14" ht="15.6" thickBot="1" x14ac:dyDescent="0.35">
      <c r="G166" s="10"/>
      <c r="J166" s="8"/>
      <c r="K166" s="2" t="str">
        <f t="shared" si="9"/>
        <v/>
      </c>
      <c r="L166" s="3" t="str">
        <f t="shared" si="10"/>
        <v/>
      </c>
      <c r="M166" s="2" t="str">
        <f t="shared" si="11"/>
        <v/>
      </c>
      <c r="N166" t="str">
        <f t="shared" si="12"/>
        <v/>
      </c>
    </row>
    <row r="167" spans="7:14" ht="15.6" thickBot="1" x14ac:dyDescent="0.35">
      <c r="G167" s="10"/>
      <c r="J167" s="8"/>
      <c r="K167" s="2" t="str">
        <f t="shared" si="9"/>
        <v/>
      </c>
      <c r="L167" s="3" t="str">
        <f t="shared" si="10"/>
        <v/>
      </c>
      <c r="M167" s="2" t="str">
        <f t="shared" si="11"/>
        <v/>
      </c>
      <c r="N167" t="str">
        <f t="shared" si="12"/>
        <v/>
      </c>
    </row>
    <row r="168" spans="7:14" ht="15.6" thickBot="1" x14ac:dyDescent="0.35">
      <c r="G168" s="10"/>
      <c r="J168" s="8"/>
      <c r="K168" s="2" t="str">
        <f t="shared" si="9"/>
        <v/>
      </c>
      <c r="L168" s="3" t="str">
        <f t="shared" si="10"/>
        <v/>
      </c>
      <c r="M168" s="2" t="str">
        <f t="shared" si="11"/>
        <v/>
      </c>
      <c r="N168" t="str">
        <f t="shared" si="12"/>
        <v/>
      </c>
    </row>
    <row r="169" spans="7:14" ht="15.6" thickBot="1" x14ac:dyDescent="0.35">
      <c r="G169" s="10"/>
      <c r="J169" s="8"/>
      <c r="K169" s="2" t="str">
        <f t="shared" si="9"/>
        <v/>
      </c>
      <c r="L169" s="3" t="str">
        <f t="shared" si="10"/>
        <v/>
      </c>
      <c r="M169" s="2" t="str">
        <f t="shared" si="11"/>
        <v/>
      </c>
      <c r="N169" t="str">
        <f t="shared" si="12"/>
        <v/>
      </c>
    </row>
    <row r="170" spans="7:14" ht="15.6" thickBot="1" x14ac:dyDescent="0.35">
      <c r="G170" s="10"/>
      <c r="J170" s="8"/>
      <c r="K170" s="2" t="str">
        <f t="shared" si="9"/>
        <v/>
      </c>
      <c r="L170" s="3" t="str">
        <f t="shared" si="10"/>
        <v/>
      </c>
      <c r="M170" s="2" t="str">
        <f t="shared" si="11"/>
        <v/>
      </c>
      <c r="N170" t="str">
        <f t="shared" si="12"/>
        <v/>
      </c>
    </row>
    <row r="171" spans="7:14" ht="15.6" thickBot="1" x14ac:dyDescent="0.35">
      <c r="G171" s="10"/>
      <c r="J171" s="8"/>
      <c r="K171" s="2" t="str">
        <f t="shared" si="9"/>
        <v/>
      </c>
      <c r="L171" s="3" t="str">
        <f t="shared" si="10"/>
        <v/>
      </c>
      <c r="M171" s="2" t="str">
        <f t="shared" si="11"/>
        <v/>
      </c>
      <c r="N171" t="str">
        <f t="shared" si="12"/>
        <v/>
      </c>
    </row>
    <row r="172" spans="7:14" ht="15.6" thickBot="1" x14ac:dyDescent="0.35">
      <c r="G172" s="10"/>
      <c r="J172" s="8"/>
      <c r="K172" s="2" t="str">
        <f t="shared" si="9"/>
        <v/>
      </c>
      <c r="L172" s="3" t="str">
        <f t="shared" si="10"/>
        <v/>
      </c>
      <c r="M172" s="2" t="str">
        <f t="shared" si="11"/>
        <v/>
      </c>
      <c r="N172" t="str">
        <f t="shared" si="12"/>
        <v/>
      </c>
    </row>
    <row r="173" spans="7:14" ht="15.6" thickBot="1" x14ac:dyDescent="0.35">
      <c r="G173" s="10"/>
      <c r="J173" s="8"/>
      <c r="K173" s="2" t="str">
        <f t="shared" si="9"/>
        <v/>
      </c>
      <c r="L173" s="3" t="str">
        <f t="shared" si="10"/>
        <v/>
      </c>
      <c r="M173" s="2" t="str">
        <f t="shared" si="11"/>
        <v/>
      </c>
      <c r="N173" t="str">
        <f t="shared" si="12"/>
        <v/>
      </c>
    </row>
    <row r="174" spans="7:14" ht="15.6" thickBot="1" x14ac:dyDescent="0.35">
      <c r="G174" s="10"/>
      <c r="J174" s="8"/>
      <c r="K174" s="2" t="str">
        <f t="shared" si="9"/>
        <v/>
      </c>
      <c r="L174" s="3" t="str">
        <f t="shared" si="10"/>
        <v/>
      </c>
      <c r="M174" s="2" t="str">
        <f t="shared" si="11"/>
        <v/>
      </c>
      <c r="N174" t="str">
        <f t="shared" si="12"/>
        <v/>
      </c>
    </row>
    <row r="175" spans="7:14" ht="15.6" thickBot="1" x14ac:dyDescent="0.35">
      <c r="G175" s="10"/>
      <c r="J175" s="8"/>
      <c r="K175" s="2" t="str">
        <f t="shared" si="9"/>
        <v/>
      </c>
      <c r="L175" s="3" t="str">
        <f t="shared" si="10"/>
        <v/>
      </c>
      <c r="M175" s="2" t="str">
        <f t="shared" si="11"/>
        <v/>
      </c>
      <c r="N175" t="str">
        <f t="shared" si="12"/>
        <v/>
      </c>
    </row>
    <row r="176" spans="7:14" ht="15.6" thickBot="1" x14ac:dyDescent="0.35">
      <c r="G176" s="10"/>
      <c r="J176" s="8"/>
      <c r="K176" s="2" t="str">
        <f t="shared" si="9"/>
        <v/>
      </c>
      <c r="L176" s="3" t="str">
        <f t="shared" si="10"/>
        <v/>
      </c>
      <c r="M176" s="2" t="str">
        <f t="shared" si="11"/>
        <v/>
      </c>
      <c r="N176" t="str">
        <f t="shared" si="12"/>
        <v/>
      </c>
    </row>
    <row r="177" spans="7:14" ht="15.6" thickBot="1" x14ac:dyDescent="0.35">
      <c r="G177" s="10"/>
      <c r="J177" s="8"/>
      <c r="K177" s="2" t="str">
        <f t="shared" si="9"/>
        <v/>
      </c>
      <c r="L177" s="3" t="str">
        <f t="shared" si="10"/>
        <v/>
      </c>
      <c r="M177" s="2" t="str">
        <f t="shared" si="11"/>
        <v/>
      </c>
      <c r="N177" t="str">
        <f t="shared" si="12"/>
        <v/>
      </c>
    </row>
    <row r="178" spans="7:14" ht="15.6" thickBot="1" x14ac:dyDescent="0.35">
      <c r="G178" s="10"/>
      <c r="J178" s="8"/>
      <c r="K178" s="2" t="str">
        <f t="shared" si="9"/>
        <v/>
      </c>
      <c r="L178" s="3" t="str">
        <f t="shared" si="10"/>
        <v/>
      </c>
      <c r="M178" s="2" t="str">
        <f t="shared" si="11"/>
        <v/>
      </c>
      <c r="N178" t="str">
        <f t="shared" si="12"/>
        <v/>
      </c>
    </row>
    <row r="179" spans="7:14" ht="15.6" thickBot="1" x14ac:dyDescent="0.35">
      <c r="G179" s="10"/>
      <c r="J179" s="8"/>
      <c r="K179" s="2" t="str">
        <f t="shared" si="9"/>
        <v/>
      </c>
      <c r="L179" s="3" t="str">
        <f t="shared" si="10"/>
        <v/>
      </c>
      <c r="M179" s="2" t="str">
        <f t="shared" si="11"/>
        <v/>
      </c>
      <c r="N179" t="str">
        <f t="shared" si="12"/>
        <v/>
      </c>
    </row>
    <row r="180" spans="7:14" ht="15.6" thickBot="1" x14ac:dyDescent="0.35">
      <c r="G180" s="10"/>
      <c r="J180" s="8"/>
      <c r="K180" s="2" t="str">
        <f t="shared" si="9"/>
        <v/>
      </c>
      <c r="L180" s="3" t="str">
        <f t="shared" si="10"/>
        <v/>
      </c>
      <c r="M180" s="2" t="str">
        <f t="shared" si="11"/>
        <v/>
      </c>
      <c r="N180" t="str">
        <f t="shared" si="12"/>
        <v/>
      </c>
    </row>
    <row r="181" spans="7:14" ht="15.6" thickBot="1" x14ac:dyDescent="0.35">
      <c r="G181" s="10"/>
      <c r="J181" s="8"/>
      <c r="K181" s="2" t="str">
        <f t="shared" si="9"/>
        <v/>
      </c>
      <c r="L181" s="3" t="str">
        <f t="shared" si="10"/>
        <v/>
      </c>
      <c r="M181" s="2" t="str">
        <f t="shared" si="11"/>
        <v/>
      </c>
      <c r="N181" t="str">
        <f t="shared" si="12"/>
        <v/>
      </c>
    </row>
    <row r="182" spans="7:14" ht="15.6" thickBot="1" x14ac:dyDescent="0.35">
      <c r="G182" s="10"/>
      <c r="J182" s="8"/>
      <c r="K182" s="2" t="str">
        <f t="shared" si="9"/>
        <v/>
      </c>
      <c r="L182" s="3" t="str">
        <f t="shared" si="10"/>
        <v/>
      </c>
      <c r="M182" s="2" t="str">
        <f t="shared" si="11"/>
        <v/>
      </c>
      <c r="N182" t="str">
        <f t="shared" si="12"/>
        <v/>
      </c>
    </row>
    <row r="183" spans="7:14" ht="15.6" thickBot="1" x14ac:dyDescent="0.35">
      <c r="G183" s="10"/>
      <c r="J183" s="8"/>
      <c r="K183" s="2" t="str">
        <f t="shared" si="9"/>
        <v/>
      </c>
      <c r="L183" s="3" t="str">
        <f t="shared" si="10"/>
        <v/>
      </c>
      <c r="M183" s="2" t="str">
        <f t="shared" si="11"/>
        <v/>
      </c>
      <c r="N183" t="str">
        <f t="shared" si="12"/>
        <v/>
      </c>
    </row>
    <row r="184" spans="7:14" ht="15.6" thickBot="1" x14ac:dyDescent="0.35">
      <c r="G184" s="10"/>
      <c r="J184" s="8"/>
      <c r="K184" s="2" t="str">
        <f t="shared" si="9"/>
        <v/>
      </c>
      <c r="L184" s="3" t="str">
        <f t="shared" si="10"/>
        <v/>
      </c>
      <c r="M184" s="2" t="str">
        <f t="shared" si="11"/>
        <v/>
      </c>
      <c r="N184" t="str">
        <f t="shared" si="12"/>
        <v/>
      </c>
    </row>
    <row r="185" spans="7:14" ht="15.6" thickBot="1" x14ac:dyDescent="0.35">
      <c r="G185" s="10"/>
      <c r="J185" s="8"/>
      <c r="K185" s="2" t="str">
        <f t="shared" si="9"/>
        <v/>
      </c>
      <c r="L185" s="3" t="str">
        <f t="shared" si="10"/>
        <v/>
      </c>
      <c r="M185" s="2" t="str">
        <f t="shared" si="11"/>
        <v/>
      </c>
      <c r="N185" t="str">
        <f t="shared" si="12"/>
        <v/>
      </c>
    </row>
    <row r="186" spans="7:14" ht="15.6" thickBot="1" x14ac:dyDescent="0.35">
      <c r="G186" s="10"/>
      <c r="J186" s="8"/>
      <c r="K186" s="2" t="str">
        <f t="shared" si="9"/>
        <v/>
      </c>
      <c r="L186" s="3" t="str">
        <f t="shared" si="10"/>
        <v/>
      </c>
      <c r="M186" s="2" t="str">
        <f t="shared" si="11"/>
        <v/>
      </c>
      <c r="N186" t="str">
        <f t="shared" si="12"/>
        <v/>
      </c>
    </row>
    <row r="187" spans="7:14" ht="15.6" thickBot="1" x14ac:dyDescent="0.35">
      <c r="G187" s="10"/>
      <c r="J187" s="8"/>
      <c r="K187" s="2" t="str">
        <f t="shared" si="9"/>
        <v/>
      </c>
      <c r="L187" s="3" t="str">
        <f t="shared" si="10"/>
        <v/>
      </c>
      <c r="M187" s="2" t="str">
        <f t="shared" si="11"/>
        <v/>
      </c>
      <c r="N187" t="str">
        <f t="shared" si="12"/>
        <v/>
      </c>
    </row>
    <row r="188" spans="7:14" ht="15.6" thickBot="1" x14ac:dyDescent="0.35">
      <c r="G188" s="10"/>
      <c r="J188" s="8"/>
      <c r="K188" s="2" t="str">
        <f t="shared" si="9"/>
        <v/>
      </c>
      <c r="L188" s="3" t="str">
        <f t="shared" si="10"/>
        <v/>
      </c>
      <c r="M188" s="2" t="str">
        <f t="shared" si="11"/>
        <v/>
      </c>
      <c r="N188" t="str">
        <f t="shared" si="12"/>
        <v/>
      </c>
    </row>
    <row r="189" spans="7:14" ht="15.6" thickBot="1" x14ac:dyDescent="0.35">
      <c r="G189" s="10"/>
      <c r="J189" s="8"/>
      <c r="K189" s="2" t="str">
        <f t="shared" si="9"/>
        <v/>
      </c>
      <c r="L189" s="3" t="str">
        <f t="shared" si="10"/>
        <v/>
      </c>
      <c r="M189" s="2" t="str">
        <f t="shared" si="11"/>
        <v/>
      </c>
      <c r="N189" t="str">
        <f t="shared" si="12"/>
        <v/>
      </c>
    </row>
    <row r="190" spans="7:14" ht="15.6" thickBot="1" x14ac:dyDescent="0.35">
      <c r="G190" s="10"/>
      <c r="J190" s="8"/>
      <c r="K190" s="2" t="str">
        <f t="shared" si="9"/>
        <v/>
      </c>
      <c r="L190" s="3" t="str">
        <f t="shared" si="10"/>
        <v/>
      </c>
      <c r="M190" s="2" t="str">
        <f t="shared" si="11"/>
        <v/>
      </c>
      <c r="N190" t="str">
        <f t="shared" si="12"/>
        <v/>
      </c>
    </row>
    <row r="191" spans="7:14" ht="15.6" thickBot="1" x14ac:dyDescent="0.35">
      <c r="G191" s="10"/>
      <c r="J191" s="8"/>
      <c r="K191" s="2" t="str">
        <f t="shared" si="9"/>
        <v/>
      </c>
      <c r="L191" s="3" t="str">
        <f t="shared" si="10"/>
        <v/>
      </c>
      <c r="M191" s="2" t="str">
        <f t="shared" si="11"/>
        <v/>
      </c>
      <c r="N191" t="str">
        <f t="shared" si="12"/>
        <v/>
      </c>
    </row>
    <row r="192" spans="7:14" ht="15.6" thickBot="1" x14ac:dyDescent="0.35">
      <c r="G192" s="10"/>
      <c r="J192" s="8"/>
      <c r="K192" s="2" t="str">
        <f t="shared" si="9"/>
        <v/>
      </c>
      <c r="L192" s="3" t="str">
        <f t="shared" si="10"/>
        <v/>
      </c>
      <c r="M192" s="2" t="str">
        <f t="shared" si="11"/>
        <v/>
      </c>
      <c r="N192" t="str">
        <f t="shared" si="12"/>
        <v/>
      </c>
    </row>
    <row r="193" spans="7:14" ht="15.6" thickBot="1" x14ac:dyDescent="0.35">
      <c r="G193" s="10"/>
      <c r="J193" s="8"/>
      <c r="K193" s="2" t="str">
        <f t="shared" si="9"/>
        <v/>
      </c>
      <c r="L193" s="3" t="str">
        <f t="shared" si="10"/>
        <v/>
      </c>
      <c r="M193" s="2" t="str">
        <f t="shared" si="11"/>
        <v/>
      </c>
      <c r="N193" t="str">
        <f t="shared" si="12"/>
        <v/>
      </c>
    </row>
    <row r="194" spans="7:14" ht="15.6" thickBot="1" x14ac:dyDescent="0.35">
      <c r="G194" s="10"/>
      <c r="J194" s="8"/>
      <c r="K194" s="2" t="str">
        <f t="shared" si="9"/>
        <v/>
      </c>
      <c r="L194" s="3" t="str">
        <f t="shared" si="10"/>
        <v/>
      </c>
      <c r="M194" s="2" t="str">
        <f t="shared" si="11"/>
        <v/>
      </c>
      <c r="N194" t="str">
        <f t="shared" si="12"/>
        <v/>
      </c>
    </row>
    <row r="195" spans="7:14" ht="15.6" thickBot="1" x14ac:dyDescent="0.35">
      <c r="G195" s="10"/>
      <c r="J195" s="8"/>
      <c r="K195" s="2" t="str">
        <f t="shared" si="9"/>
        <v/>
      </c>
      <c r="L195" s="3" t="str">
        <f t="shared" si="10"/>
        <v/>
      </c>
      <c r="M195" s="2" t="str">
        <f t="shared" si="11"/>
        <v/>
      </c>
      <c r="N195" t="str">
        <f t="shared" si="12"/>
        <v/>
      </c>
    </row>
    <row r="196" spans="7:14" ht="15.6" thickBot="1" x14ac:dyDescent="0.35">
      <c r="G196" s="10"/>
      <c r="J196" s="8"/>
      <c r="K196" s="2" t="str">
        <f t="shared" si="9"/>
        <v/>
      </c>
      <c r="L196" s="3" t="str">
        <f t="shared" si="10"/>
        <v/>
      </c>
      <c r="M196" s="2" t="str">
        <f t="shared" si="11"/>
        <v/>
      </c>
      <c r="N196" t="str">
        <f t="shared" si="12"/>
        <v/>
      </c>
    </row>
    <row r="197" spans="7:14" ht="15.6" thickBot="1" x14ac:dyDescent="0.35">
      <c r="G197" s="10"/>
      <c r="J197" s="8"/>
      <c r="K197" s="2" t="str">
        <f t="shared" ref="K197:K260" si="13">SUBSTITUTE(I197,CHAR(10),"&lt;br&gt;")</f>
        <v/>
      </c>
      <c r="L197" s="3" t="str">
        <f t="shared" ref="L197:L260" si="14">IF(B197="","","{"&amp;$M$1&amp;"no"&amp;$M$1&amp;":"&amp;$M$1&amp;""&amp;B197&amp;""&amp;$M$1&amp;","&amp;$M$1&amp;"name"&amp;$M$1&amp;":"&amp;$M$1&amp;""&amp;C197&amp;""&amp;$M$1&amp;","&amp;$M$1&amp;"category"&amp;$M$1&amp;":"&amp;$M$1&amp;""&amp;D197&amp;""&amp;$M$1&amp;","&amp;$M$1&amp;"price"&amp;$M$1&amp;":"&amp;E197&amp;","&amp;$M$1&amp;"quantity"&amp;$M$1&amp;":"&amp;F197&amp;","&amp;$M$1&amp;"discount"&amp;$M$1&amp;":"&amp;G197*100&amp;","&amp;$M$1&amp;"images"&amp;$M$1&amp;":"&amp;$M$1&amp;""&amp;H197&amp;""&amp;$M$1&amp;","&amp;$M$1&amp;"description"&amp;$M$1&amp;":"&amp;$M$1&amp;""&amp;K197&amp;""&amp;$M$1&amp;"}")</f>
        <v/>
      </c>
      <c r="M197" s="2" t="str">
        <f t="shared" ref="M197:M260" si="15">IF(L198="","",",")</f>
        <v/>
      </c>
      <c r="N197" t="str">
        <f t="shared" si="12"/>
        <v/>
      </c>
    </row>
    <row r="198" spans="7:14" ht="15.6" thickBot="1" x14ac:dyDescent="0.35">
      <c r="G198" s="10"/>
      <c r="J198" s="8"/>
      <c r="K198" s="2" t="str">
        <f t="shared" si="13"/>
        <v/>
      </c>
      <c r="L198" s="3" t="str">
        <f t="shared" si="14"/>
        <v/>
      </c>
      <c r="M198" s="2" t="str">
        <f t="shared" si="15"/>
        <v/>
      </c>
      <c r="N198" t="str">
        <f t="shared" si="12"/>
        <v/>
      </c>
    </row>
    <row r="199" spans="7:14" ht="15.6" thickBot="1" x14ac:dyDescent="0.35">
      <c r="G199" s="10"/>
      <c r="J199" s="8"/>
      <c r="K199" s="2" t="str">
        <f t="shared" si="13"/>
        <v/>
      </c>
      <c r="L199" s="3" t="str">
        <f t="shared" si="14"/>
        <v/>
      </c>
      <c r="M199" s="2" t="str">
        <f t="shared" si="15"/>
        <v/>
      </c>
      <c r="N199" t="str">
        <f t="shared" si="12"/>
        <v/>
      </c>
    </row>
    <row r="200" spans="7:14" ht="15.6" thickBot="1" x14ac:dyDescent="0.35">
      <c r="G200" s="10"/>
      <c r="J200" s="8"/>
      <c r="K200" s="2" t="str">
        <f t="shared" si="13"/>
        <v/>
      </c>
      <c r="L200" s="3" t="str">
        <f t="shared" si="14"/>
        <v/>
      </c>
      <c r="M200" s="2" t="str">
        <f t="shared" si="15"/>
        <v/>
      </c>
      <c r="N200" t="str">
        <f t="shared" si="12"/>
        <v/>
      </c>
    </row>
    <row r="201" spans="7:14" ht="15.6" thickBot="1" x14ac:dyDescent="0.35">
      <c r="G201" s="10"/>
      <c r="J201" s="8"/>
      <c r="K201" s="2" t="str">
        <f t="shared" si="13"/>
        <v/>
      </c>
      <c r="L201" s="3" t="str">
        <f t="shared" si="14"/>
        <v/>
      </c>
      <c r="M201" s="2" t="str">
        <f t="shared" si="15"/>
        <v/>
      </c>
      <c r="N201" t="str">
        <f t="shared" ref="N201:N264" si="16">_xlfn.CONCAT(L201,M201)</f>
        <v/>
      </c>
    </row>
    <row r="202" spans="7:14" ht="15.6" thickBot="1" x14ac:dyDescent="0.35">
      <c r="G202" s="10"/>
      <c r="J202" s="8"/>
      <c r="K202" s="2" t="str">
        <f t="shared" si="13"/>
        <v/>
      </c>
      <c r="L202" s="3" t="str">
        <f t="shared" si="14"/>
        <v/>
      </c>
      <c r="M202" s="2" t="str">
        <f t="shared" si="15"/>
        <v/>
      </c>
      <c r="N202" t="str">
        <f t="shared" si="16"/>
        <v/>
      </c>
    </row>
    <row r="203" spans="7:14" ht="15.6" thickBot="1" x14ac:dyDescent="0.35">
      <c r="G203" s="10"/>
      <c r="J203" s="8"/>
      <c r="K203" s="2" t="str">
        <f t="shared" si="13"/>
        <v/>
      </c>
      <c r="L203" s="3" t="str">
        <f t="shared" si="14"/>
        <v/>
      </c>
      <c r="M203" s="2" t="str">
        <f t="shared" si="15"/>
        <v/>
      </c>
      <c r="N203" t="str">
        <f t="shared" si="16"/>
        <v/>
      </c>
    </row>
    <row r="204" spans="7:14" ht="15.6" thickBot="1" x14ac:dyDescent="0.35">
      <c r="G204" s="10"/>
      <c r="J204" s="8"/>
      <c r="K204" s="2" t="str">
        <f t="shared" si="13"/>
        <v/>
      </c>
      <c r="L204" s="3" t="str">
        <f t="shared" si="14"/>
        <v/>
      </c>
      <c r="M204" s="2" t="str">
        <f t="shared" si="15"/>
        <v/>
      </c>
      <c r="N204" t="str">
        <f t="shared" si="16"/>
        <v/>
      </c>
    </row>
    <row r="205" spans="7:14" ht="15.6" thickBot="1" x14ac:dyDescent="0.35">
      <c r="G205" s="10"/>
      <c r="J205" s="8"/>
      <c r="K205" s="2" t="str">
        <f t="shared" si="13"/>
        <v/>
      </c>
      <c r="L205" s="3" t="str">
        <f t="shared" si="14"/>
        <v/>
      </c>
      <c r="M205" s="2" t="str">
        <f t="shared" si="15"/>
        <v/>
      </c>
      <c r="N205" t="str">
        <f t="shared" si="16"/>
        <v/>
      </c>
    </row>
    <row r="206" spans="7:14" ht="15.6" thickBot="1" x14ac:dyDescent="0.35">
      <c r="G206" s="10"/>
      <c r="J206" s="8"/>
      <c r="K206" s="2" t="str">
        <f t="shared" si="13"/>
        <v/>
      </c>
      <c r="L206" s="3" t="str">
        <f t="shared" si="14"/>
        <v/>
      </c>
      <c r="M206" s="2" t="str">
        <f t="shared" si="15"/>
        <v/>
      </c>
      <c r="N206" t="str">
        <f t="shared" si="16"/>
        <v/>
      </c>
    </row>
    <row r="207" spans="7:14" ht="15.6" thickBot="1" x14ac:dyDescent="0.35">
      <c r="G207" s="10"/>
      <c r="J207" s="8"/>
      <c r="K207" s="2" t="str">
        <f t="shared" si="13"/>
        <v/>
      </c>
      <c r="L207" s="3" t="str">
        <f t="shared" si="14"/>
        <v/>
      </c>
      <c r="M207" s="2" t="str">
        <f t="shared" si="15"/>
        <v/>
      </c>
      <c r="N207" t="str">
        <f t="shared" si="16"/>
        <v/>
      </c>
    </row>
    <row r="208" spans="7:14" ht="15.6" thickBot="1" x14ac:dyDescent="0.35">
      <c r="G208" s="10"/>
      <c r="J208" s="8"/>
      <c r="K208" s="2" t="str">
        <f t="shared" si="13"/>
        <v/>
      </c>
      <c r="L208" s="3" t="str">
        <f t="shared" si="14"/>
        <v/>
      </c>
      <c r="M208" s="2" t="str">
        <f t="shared" si="15"/>
        <v/>
      </c>
      <c r="N208" t="str">
        <f t="shared" si="16"/>
        <v/>
      </c>
    </row>
    <row r="209" spans="7:14" ht="15.6" thickBot="1" x14ac:dyDescent="0.35">
      <c r="G209" s="10"/>
      <c r="J209" s="8"/>
      <c r="K209" s="2" t="str">
        <f t="shared" si="13"/>
        <v/>
      </c>
      <c r="L209" s="3" t="str">
        <f t="shared" si="14"/>
        <v/>
      </c>
      <c r="M209" s="2" t="str">
        <f t="shared" si="15"/>
        <v/>
      </c>
      <c r="N209" t="str">
        <f t="shared" si="16"/>
        <v/>
      </c>
    </row>
    <row r="210" spans="7:14" ht="15.6" thickBot="1" x14ac:dyDescent="0.35">
      <c r="G210" s="10"/>
      <c r="J210" s="8"/>
      <c r="K210" s="2" t="str">
        <f t="shared" si="13"/>
        <v/>
      </c>
      <c r="L210" s="3" t="str">
        <f t="shared" si="14"/>
        <v/>
      </c>
      <c r="M210" s="2" t="str">
        <f t="shared" si="15"/>
        <v/>
      </c>
      <c r="N210" t="str">
        <f t="shared" si="16"/>
        <v/>
      </c>
    </row>
    <row r="211" spans="7:14" ht="15.6" thickBot="1" x14ac:dyDescent="0.35">
      <c r="G211" s="10"/>
      <c r="J211" s="8"/>
      <c r="K211" s="2" t="str">
        <f t="shared" si="13"/>
        <v/>
      </c>
      <c r="L211" s="3" t="str">
        <f t="shared" si="14"/>
        <v/>
      </c>
      <c r="M211" s="2" t="str">
        <f t="shared" si="15"/>
        <v/>
      </c>
      <c r="N211" t="str">
        <f t="shared" si="16"/>
        <v/>
      </c>
    </row>
    <row r="212" spans="7:14" ht="15.6" thickBot="1" x14ac:dyDescent="0.35">
      <c r="G212" s="10"/>
      <c r="J212" s="8"/>
      <c r="K212" s="2" t="str">
        <f t="shared" si="13"/>
        <v/>
      </c>
      <c r="L212" s="3" t="str">
        <f t="shared" si="14"/>
        <v/>
      </c>
      <c r="M212" s="2" t="str">
        <f t="shared" si="15"/>
        <v/>
      </c>
      <c r="N212" t="str">
        <f t="shared" si="16"/>
        <v/>
      </c>
    </row>
    <row r="213" spans="7:14" ht="15.6" thickBot="1" x14ac:dyDescent="0.35">
      <c r="G213" s="10"/>
      <c r="J213" s="8"/>
      <c r="K213" s="2" t="str">
        <f t="shared" si="13"/>
        <v/>
      </c>
      <c r="L213" s="3" t="str">
        <f t="shared" si="14"/>
        <v/>
      </c>
      <c r="M213" s="2" t="str">
        <f t="shared" si="15"/>
        <v/>
      </c>
      <c r="N213" t="str">
        <f t="shared" si="16"/>
        <v/>
      </c>
    </row>
    <row r="214" spans="7:14" ht="15.6" thickBot="1" x14ac:dyDescent="0.35">
      <c r="G214" s="10"/>
      <c r="J214" s="8"/>
      <c r="K214" s="2" t="str">
        <f t="shared" si="13"/>
        <v/>
      </c>
      <c r="L214" s="3" t="str">
        <f t="shared" si="14"/>
        <v/>
      </c>
      <c r="M214" s="2" t="str">
        <f t="shared" si="15"/>
        <v/>
      </c>
      <c r="N214" t="str">
        <f t="shared" si="16"/>
        <v/>
      </c>
    </row>
    <row r="215" spans="7:14" ht="15.6" thickBot="1" x14ac:dyDescent="0.35">
      <c r="G215" s="10"/>
      <c r="J215" s="8"/>
      <c r="K215" s="2" t="str">
        <f t="shared" si="13"/>
        <v/>
      </c>
      <c r="L215" s="3" t="str">
        <f t="shared" si="14"/>
        <v/>
      </c>
      <c r="M215" s="2" t="str">
        <f t="shared" si="15"/>
        <v/>
      </c>
      <c r="N215" t="str">
        <f t="shared" si="16"/>
        <v/>
      </c>
    </row>
    <row r="216" spans="7:14" ht="15.6" thickBot="1" x14ac:dyDescent="0.35">
      <c r="G216" s="10"/>
      <c r="J216" s="8"/>
      <c r="K216" s="2" t="str">
        <f t="shared" si="13"/>
        <v/>
      </c>
      <c r="L216" s="3" t="str">
        <f t="shared" si="14"/>
        <v/>
      </c>
      <c r="M216" s="2" t="str">
        <f t="shared" si="15"/>
        <v/>
      </c>
      <c r="N216" t="str">
        <f t="shared" si="16"/>
        <v/>
      </c>
    </row>
    <row r="217" spans="7:14" ht="15.6" thickBot="1" x14ac:dyDescent="0.35">
      <c r="G217" s="10"/>
      <c r="J217" s="8"/>
      <c r="K217" s="2" t="str">
        <f t="shared" si="13"/>
        <v/>
      </c>
      <c r="L217" s="3" t="str">
        <f t="shared" si="14"/>
        <v/>
      </c>
      <c r="M217" s="2" t="str">
        <f t="shared" si="15"/>
        <v/>
      </c>
      <c r="N217" t="str">
        <f t="shared" si="16"/>
        <v/>
      </c>
    </row>
    <row r="218" spans="7:14" ht="15.6" thickBot="1" x14ac:dyDescent="0.35">
      <c r="G218" s="10"/>
      <c r="J218" s="8"/>
      <c r="K218" s="2" t="str">
        <f t="shared" si="13"/>
        <v/>
      </c>
      <c r="L218" s="3" t="str">
        <f t="shared" si="14"/>
        <v/>
      </c>
      <c r="M218" s="2" t="str">
        <f t="shared" si="15"/>
        <v/>
      </c>
      <c r="N218" t="str">
        <f t="shared" si="16"/>
        <v/>
      </c>
    </row>
    <row r="219" spans="7:14" ht="15.6" thickBot="1" x14ac:dyDescent="0.35">
      <c r="G219" s="10"/>
      <c r="J219" s="8"/>
      <c r="K219" s="2" t="str">
        <f t="shared" si="13"/>
        <v/>
      </c>
      <c r="L219" s="3" t="str">
        <f t="shared" si="14"/>
        <v/>
      </c>
      <c r="M219" s="2" t="str">
        <f t="shared" si="15"/>
        <v/>
      </c>
      <c r="N219" t="str">
        <f t="shared" si="16"/>
        <v/>
      </c>
    </row>
    <row r="220" spans="7:14" ht="15.6" thickBot="1" x14ac:dyDescent="0.35">
      <c r="G220" s="10"/>
      <c r="J220" s="8"/>
      <c r="K220" s="2" t="str">
        <f t="shared" si="13"/>
        <v/>
      </c>
      <c r="L220" s="3" t="str">
        <f t="shared" si="14"/>
        <v/>
      </c>
      <c r="M220" s="2" t="str">
        <f t="shared" si="15"/>
        <v/>
      </c>
      <c r="N220" t="str">
        <f t="shared" si="16"/>
        <v/>
      </c>
    </row>
    <row r="221" spans="7:14" ht="15.6" thickBot="1" x14ac:dyDescent="0.35">
      <c r="G221" s="10"/>
      <c r="J221" s="8"/>
      <c r="K221" s="2" t="str">
        <f t="shared" si="13"/>
        <v/>
      </c>
      <c r="L221" s="3" t="str">
        <f t="shared" si="14"/>
        <v/>
      </c>
      <c r="M221" s="2" t="str">
        <f t="shared" si="15"/>
        <v/>
      </c>
      <c r="N221" t="str">
        <f t="shared" si="16"/>
        <v/>
      </c>
    </row>
    <row r="222" spans="7:14" ht="15.6" thickBot="1" x14ac:dyDescent="0.35">
      <c r="G222" s="10"/>
      <c r="J222" s="8"/>
      <c r="K222" s="2" t="str">
        <f t="shared" si="13"/>
        <v/>
      </c>
      <c r="L222" s="3" t="str">
        <f t="shared" si="14"/>
        <v/>
      </c>
      <c r="M222" s="2" t="str">
        <f t="shared" si="15"/>
        <v/>
      </c>
      <c r="N222" t="str">
        <f t="shared" si="16"/>
        <v/>
      </c>
    </row>
    <row r="223" spans="7:14" ht="15.6" thickBot="1" x14ac:dyDescent="0.35">
      <c r="G223" s="10"/>
      <c r="J223" s="8"/>
      <c r="K223" s="2" t="str">
        <f t="shared" si="13"/>
        <v/>
      </c>
      <c r="L223" s="3" t="str">
        <f t="shared" si="14"/>
        <v/>
      </c>
      <c r="M223" s="2" t="str">
        <f t="shared" si="15"/>
        <v/>
      </c>
      <c r="N223" t="str">
        <f t="shared" si="16"/>
        <v/>
      </c>
    </row>
    <row r="224" spans="7:14" ht="15.6" thickBot="1" x14ac:dyDescent="0.35">
      <c r="G224" s="10"/>
      <c r="J224" s="8"/>
      <c r="K224" s="2" t="str">
        <f t="shared" si="13"/>
        <v/>
      </c>
      <c r="L224" s="3" t="str">
        <f t="shared" si="14"/>
        <v/>
      </c>
      <c r="M224" s="2" t="str">
        <f t="shared" si="15"/>
        <v/>
      </c>
      <c r="N224" t="str">
        <f t="shared" si="16"/>
        <v/>
      </c>
    </row>
    <row r="225" spans="7:14" ht="15.6" thickBot="1" x14ac:dyDescent="0.35">
      <c r="G225" s="10"/>
      <c r="J225" s="8"/>
      <c r="K225" s="2" t="str">
        <f t="shared" si="13"/>
        <v/>
      </c>
      <c r="L225" s="3" t="str">
        <f t="shared" si="14"/>
        <v/>
      </c>
      <c r="M225" s="2" t="str">
        <f t="shared" si="15"/>
        <v/>
      </c>
      <c r="N225" t="str">
        <f t="shared" si="16"/>
        <v/>
      </c>
    </row>
    <row r="226" spans="7:14" ht="15.6" thickBot="1" x14ac:dyDescent="0.35">
      <c r="G226" s="10"/>
      <c r="J226" s="8"/>
      <c r="K226" s="2" t="str">
        <f t="shared" si="13"/>
        <v/>
      </c>
      <c r="L226" s="3" t="str">
        <f t="shared" si="14"/>
        <v/>
      </c>
      <c r="M226" s="2" t="str">
        <f t="shared" si="15"/>
        <v/>
      </c>
      <c r="N226" t="str">
        <f t="shared" si="16"/>
        <v/>
      </c>
    </row>
    <row r="227" spans="7:14" ht="15.6" thickBot="1" x14ac:dyDescent="0.35">
      <c r="G227" s="10"/>
      <c r="J227" s="8"/>
      <c r="K227" s="2" t="str">
        <f t="shared" si="13"/>
        <v/>
      </c>
      <c r="L227" s="3" t="str">
        <f t="shared" si="14"/>
        <v/>
      </c>
      <c r="M227" s="2" t="str">
        <f t="shared" si="15"/>
        <v/>
      </c>
      <c r="N227" t="str">
        <f t="shared" si="16"/>
        <v/>
      </c>
    </row>
    <row r="228" spans="7:14" ht="15.6" thickBot="1" x14ac:dyDescent="0.35">
      <c r="G228" s="10"/>
      <c r="J228" s="8"/>
      <c r="K228" s="2" t="str">
        <f t="shared" si="13"/>
        <v/>
      </c>
      <c r="L228" s="3" t="str">
        <f t="shared" si="14"/>
        <v/>
      </c>
      <c r="M228" s="2" t="str">
        <f t="shared" si="15"/>
        <v/>
      </c>
      <c r="N228" t="str">
        <f t="shared" si="16"/>
        <v/>
      </c>
    </row>
    <row r="229" spans="7:14" ht="15.6" thickBot="1" x14ac:dyDescent="0.35">
      <c r="G229" s="10"/>
      <c r="J229" s="8"/>
      <c r="K229" s="2" t="str">
        <f t="shared" si="13"/>
        <v/>
      </c>
      <c r="L229" s="3" t="str">
        <f t="shared" si="14"/>
        <v/>
      </c>
      <c r="M229" s="2" t="str">
        <f t="shared" si="15"/>
        <v/>
      </c>
      <c r="N229" t="str">
        <f t="shared" si="16"/>
        <v/>
      </c>
    </row>
    <row r="230" spans="7:14" ht="15.6" thickBot="1" x14ac:dyDescent="0.35">
      <c r="G230" s="10"/>
      <c r="J230" s="8"/>
      <c r="K230" s="2" t="str">
        <f t="shared" si="13"/>
        <v/>
      </c>
      <c r="L230" s="3" t="str">
        <f t="shared" si="14"/>
        <v/>
      </c>
      <c r="M230" s="2" t="str">
        <f t="shared" si="15"/>
        <v/>
      </c>
      <c r="N230" t="str">
        <f t="shared" si="16"/>
        <v/>
      </c>
    </row>
    <row r="231" spans="7:14" ht="15.6" thickBot="1" x14ac:dyDescent="0.35">
      <c r="G231" s="10"/>
      <c r="J231" s="8"/>
      <c r="K231" s="2" t="str">
        <f t="shared" si="13"/>
        <v/>
      </c>
      <c r="L231" s="3" t="str">
        <f t="shared" si="14"/>
        <v/>
      </c>
      <c r="M231" s="2" t="str">
        <f t="shared" si="15"/>
        <v/>
      </c>
      <c r="N231" t="str">
        <f t="shared" si="16"/>
        <v/>
      </c>
    </row>
    <row r="232" spans="7:14" ht="15.6" thickBot="1" x14ac:dyDescent="0.35">
      <c r="G232" s="10"/>
      <c r="J232" s="8"/>
      <c r="K232" s="2" t="str">
        <f t="shared" si="13"/>
        <v/>
      </c>
      <c r="L232" s="3" t="str">
        <f t="shared" si="14"/>
        <v/>
      </c>
      <c r="M232" s="2" t="str">
        <f t="shared" si="15"/>
        <v/>
      </c>
      <c r="N232" t="str">
        <f t="shared" si="16"/>
        <v/>
      </c>
    </row>
    <row r="233" spans="7:14" ht="15.6" thickBot="1" x14ac:dyDescent="0.35">
      <c r="G233" s="10"/>
      <c r="J233" s="8"/>
      <c r="K233" s="2" t="str">
        <f t="shared" si="13"/>
        <v/>
      </c>
      <c r="L233" s="3" t="str">
        <f t="shared" si="14"/>
        <v/>
      </c>
      <c r="M233" s="2" t="str">
        <f t="shared" si="15"/>
        <v/>
      </c>
      <c r="N233" t="str">
        <f t="shared" si="16"/>
        <v/>
      </c>
    </row>
    <row r="234" spans="7:14" ht="15.6" thickBot="1" x14ac:dyDescent="0.35">
      <c r="G234" s="10"/>
      <c r="J234" s="8"/>
      <c r="K234" s="2" t="str">
        <f t="shared" si="13"/>
        <v/>
      </c>
      <c r="L234" s="3" t="str">
        <f t="shared" si="14"/>
        <v/>
      </c>
      <c r="M234" s="2" t="str">
        <f t="shared" si="15"/>
        <v/>
      </c>
      <c r="N234" t="str">
        <f t="shared" si="16"/>
        <v/>
      </c>
    </row>
    <row r="235" spans="7:14" ht="15.6" thickBot="1" x14ac:dyDescent="0.35">
      <c r="G235" s="10"/>
      <c r="J235" s="8"/>
      <c r="K235" s="2" t="str">
        <f t="shared" si="13"/>
        <v/>
      </c>
      <c r="L235" s="3" t="str">
        <f t="shared" si="14"/>
        <v/>
      </c>
      <c r="M235" s="2" t="str">
        <f t="shared" si="15"/>
        <v/>
      </c>
      <c r="N235" t="str">
        <f t="shared" si="16"/>
        <v/>
      </c>
    </row>
    <row r="236" spans="7:14" ht="15.6" thickBot="1" x14ac:dyDescent="0.35">
      <c r="G236" s="10"/>
      <c r="J236" s="8"/>
      <c r="K236" s="2" t="str">
        <f t="shared" si="13"/>
        <v/>
      </c>
      <c r="L236" s="3" t="str">
        <f t="shared" si="14"/>
        <v/>
      </c>
      <c r="M236" s="2" t="str">
        <f t="shared" si="15"/>
        <v/>
      </c>
      <c r="N236" t="str">
        <f t="shared" si="16"/>
        <v/>
      </c>
    </row>
    <row r="237" spans="7:14" ht="15.6" thickBot="1" x14ac:dyDescent="0.35">
      <c r="G237" s="10"/>
      <c r="J237" s="8"/>
      <c r="K237" s="2" t="str">
        <f t="shared" si="13"/>
        <v/>
      </c>
      <c r="L237" s="3" t="str">
        <f t="shared" si="14"/>
        <v/>
      </c>
      <c r="M237" s="2" t="str">
        <f t="shared" si="15"/>
        <v/>
      </c>
      <c r="N237" t="str">
        <f t="shared" si="16"/>
        <v/>
      </c>
    </row>
    <row r="238" spans="7:14" ht="15.6" thickBot="1" x14ac:dyDescent="0.35">
      <c r="G238" s="10"/>
      <c r="J238" s="8"/>
      <c r="K238" s="2" t="str">
        <f t="shared" si="13"/>
        <v/>
      </c>
      <c r="L238" s="3" t="str">
        <f t="shared" si="14"/>
        <v/>
      </c>
      <c r="M238" s="2" t="str">
        <f t="shared" si="15"/>
        <v/>
      </c>
      <c r="N238" t="str">
        <f t="shared" si="16"/>
        <v/>
      </c>
    </row>
    <row r="239" spans="7:14" ht="15.6" thickBot="1" x14ac:dyDescent="0.35">
      <c r="G239" s="10"/>
      <c r="J239" s="8"/>
      <c r="K239" s="2" t="str">
        <f t="shared" si="13"/>
        <v/>
      </c>
      <c r="L239" s="3" t="str">
        <f t="shared" si="14"/>
        <v/>
      </c>
      <c r="M239" s="2" t="str">
        <f t="shared" si="15"/>
        <v/>
      </c>
      <c r="N239" t="str">
        <f t="shared" si="16"/>
        <v/>
      </c>
    </row>
    <row r="240" spans="7:14" ht="15.6" thickBot="1" x14ac:dyDescent="0.35">
      <c r="G240" s="10"/>
      <c r="J240" s="8"/>
      <c r="K240" s="2" t="str">
        <f t="shared" si="13"/>
        <v/>
      </c>
      <c r="L240" s="3" t="str">
        <f t="shared" si="14"/>
        <v/>
      </c>
      <c r="M240" s="2" t="str">
        <f t="shared" si="15"/>
        <v/>
      </c>
      <c r="N240" t="str">
        <f t="shared" si="16"/>
        <v/>
      </c>
    </row>
    <row r="241" spans="7:14" ht="15.6" thickBot="1" x14ac:dyDescent="0.35">
      <c r="G241" s="10"/>
      <c r="J241" s="8"/>
      <c r="K241" s="2" t="str">
        <f t="shared" si="13"/>
        <v/>
      </c>
      <c r="L241" s="3" t="str">
        <f t="shared" si="14"/>
        <v/>
      </c>
      <c r="M241" s="2" t="str">
        <f t="shared" si="15"/>
        <v/>
      </c>
      <c r="N241" t="str">
        <f t="shared" si="16"/>
        <v/>
      </c>
    </row>
    <row r="242" spans="7:14" ht="15.6" thickBot="1" x14ac:dyDescent="0.35">
      <c r="G242" s="10"/>
      <c r="J242" s="8"/>
      <c r="K242" s="2" t="str">
        <f t="shared" si="13"/>
        <v/>
      </c>
      <c r="L242" s="3" t="str">
        <f t="shared" si="14"/>
        <v/>
      </c>
      <c r="M242" s="2" t="str">
        <f t="shared" si="15"/>
        <v/>
      </c>
      <c r="N242" t="str">
        <f t="shared" si="16"/>
        <v/>
      </c>
    </row>
    <row r="243" spans="7:14" ht="15.6" thickBot="1" x14ac:dyDescent="0.35">
      <c r="G243" s="10"/>
      <c r="J243" s="8"/>
      <c r="K243" s="2" t="str">
        <f t="shared" si="13"/>
        <v/>
      </c>
      <c r="L243" s="3" t="str">
        <f t="shared" si="14"/>
        <v/>
      </c>
      <c r="M243" s="2" t="str">
        <f t="shared" si="15"/>
        <v/>
      </c>
      <c r="N243" t="str">
        <f t="shared" si="16"/>
        <v/>
      </c>
    </row>
    <row r="244" spans="7:14" ht="15.6" thickBot="1" x14ac:dyDescent="0.35">
      <c r="G244" s="10"/>
      <c r="J244" s="8"/>
      <c r="K244" s="2" t="str">
        <f t="shared" si="13"/>
        <v/>
      </c>
      <c r="L244" s="3" t="str">
        <f t="shared" si="14"/>
        <v/>
      </c>
      <c r="M244" s="2" t="str">
        <f t="shared" si="15"/>
        <v/>
      </c>
      <c r="N244" t="str">
        <f t="shared" si="16"/>
        <v/>
      </c>
    </row>
    <row r="245" spans="7:14" ht="15.6" thickBot="1" x14ac:dyDescent="0.35">
      <c r="G245" s="10"/>
      <c r="J245" s="8"/>
      <c r="K245" s="2" t="str">
        <f t="shared" si="13"/>
        <v/>
      </c>
      <c r="L245" s="3" t="str">
        <f t="shared" si="14"/>
        <v/>
      </c>
      <c r="M245" s="2" t="str">
        <f t="shared" si="15"/>
        <v/>
      </c>
      <c r="N245" t="str">
        <f t="shared" si="16"/>
        <v/>
      </c>
    </row>
    <row r="246" spans="7:14" ht="15.6" thickBot="1" x14ac:dyDescent="0.35">
      <c r="G246" s="10"/>
      <c r="J246" s="8"/>
      <c r="K246" s="2" t="str">
        <f t="shared" si="13"/>
        <v/>
      </c>
      <c r="L246" s="3" t="str">
        <f t="shared" si="14"/>
        <v/>
      </c>
      <c r="M246" s="2" t="str">
        <f t="shared" si="15"/>
        <v/>
      </c>
      <c r="N246" t="str">
        <f t="shared" si="16"/>
        <v/>
      </c>
    </row>
    <row r="247" spans="7:14" ht="15.6" thickBot="1" x14ac:dyDescent="0.35">
      <c r="G247" s="10"/>
      <c r="J247" s="8"/>
      <c r="K247" s="2" t="str">
        <f t="shared" si="13"/>
        <v/>
      </c>
      <c r="L247" s="3" t="str">
        <f t="shared" si="14"/>
        <v/>
      </c>
      <c r="M247" s="2" t="str">
        <f t="shared" si="15"/>
        <v/>
      </c>
      <c r="N247" t="str">
        <f t="shared" si="16"/>
        <v/>
      </c>
    </row>
    <row r="248" spans="7:14" ht="15.6" thickBot="1" x14ac:dyDescent="0.35">
      <c r="G248" s="10"/>
      <c r="J248" s="8"/>
      <c r="K248" s="2" t="str">
        <f t="shared" si="13"/>
        <v/>
      </c>
      <c r="L248" s="3" t="str">
        <f t="shared" si="14"/>
        <v/>
      </c>
      <c r="M248" s="2" t="str">
        <f t="shared" si="15"/>
        <v/>
      </c>
      <c r="N248" t="str">
        <f t="shared" si="16"/>
        <v/>
      </c>
    </row>
    <row r="249" spans="7:14" ht="15.6" thickBot="1" x14ac:dyDescent="0.35">
      <c r="G249" s="10"/>
      <c r="J249" s="8"/>
      <c r="K249" s="2" t="str">
        <f t="shared" si="13"/>
        <v/>
      </c>
      <c r="L249" s="3" t="str">
        <f t="shared" si="14"/>
        <v/>
      </c>
      <c r="M249" s="2" t="str">
        <f t="shared" si="15"/>
        <v/>
      </c>
      <c r="N249" t="str">
        <f t="shared" si="16"/>
        <v/>
      </c>
    </row>
    <row r="250" spans="7:14" ht="15.6" thickBot="1" x14ac:dyDescent="0.35">
      <c r="G250" s="10"/>
      <c r="J250" s="8"/>
      <c r="K250" s="2" t="str">
        <f t="shared" si="13"/>
        <v/>
      </c>
      <c r="L250" s="3" t="str">
        <f t="shared" si="14"/>
        <v/>
      </c>
      <c r="M250" s="2" t="str">
        <f t="shared" si="15"/>
        <v/>
      </c>
      <c r="N250" t="str">
        <f t="shared" si="16"/>
        <v/>
      </c>
    </row>
    <row r="251" spans="7:14" ht="15.6" thickBot="1" x14ac:dyDescent="0.35">
      <c r="G251" s="10"/>
      <c r="J251" s="8"/>
      <c r="K251" s="2" t="str">
        <f t="shared" si="13"/>
        <v/>
      </c>
      <c r="L251" s="3" t="str">
        <f t="shared" si="14"/>
        <v/>
      </c>
      <c r="M251" s="2" t="str">
        <f t="shared" si="15"/>
        <v/>
      </c>
      <c r="N251" t="str">
        <f t="shared" si="16"/>
        <v/>
      </c>
    </row>
    <row r="252" spans="7:14" ht="15.6" thickBot="1" x14ac:dyDescent="0.35">
      <c r="G252" s="10"/>
      <c r="J252" s="8"/>
      <c r="K252" s="2" t="str">
        <f t="shared" si="13"/>
        <v/>
      </c>
      <c r="L252" s="3" t="str">
        <f t="shared" si="14"/>
        <v/>
      </c>
      <c r="M252" s="2" t="str">
        <f t="shared" si="15"/>
        <v/>
      </c>
      <c r="N252" t="str">
        <f t="shared" si="16"/>
        <v/>
      </c>
    </row>
    <row r="253" spans="7:14" ht="15.6" thickBot="1" x14ac:dyDescent="0.35">
      <c r="G253" s="10"/>
      <c r="J253" s="8"/>
      <c r="K253" s="2" t="str">
        <f t="shared" si="13"/>
        <v/>
      </c>
      <c r="L253" s="3" t="str">
        <f t="shared" si="14"/>
        <v/>
      </c>
      <c r="M253" s="2" t="str">
        <f t="shared" si="15"/>
        <v/>
      </c>
      <c r="N253" t="str">
        <f t="shared" si="16"/>
        <v/>
      </c>
    </row>
    <row r="254" spans="7:14" ht="15.6" thickBot="1" x14ac:dyDescent="0.35">
      <c r="G254" s="10"/>
      <c r="J254" s="8"/>
      <c r="K254" s="2" t="str">
        <f t="shared" si="13"/>
        <v/>
      </c>
      <c r="L254" s="3" t="str">
        <f t="shared" si="14"/>
        <v/>
      </c>
      <c r="M254" s="2" t="str">
        <f t="shared" si="15"/>
        <v/>
      </c>
      <c r="N254" t="str">
        <f t="shared" si="16"/>
        <v/>
      </c>
    </row>
    <row r="255" spans="7:14" ht="15.6" thickBot="1" x14ac:dyDescent="0.35">
      <c r="G255" s="10"/>
      <c r="J255" s="8"/>
      <c r="K255" s="2" t="str">
        <f t="shared" si="13"/>
        <v/>
      </c>
      <c r="L255" s="3" t="str">
        <f t="shared" si="14"/>
        <v/>
      </c>
      <c r="M255" s="2" t="str">
        <f t="shared" si="15"/>
        <v/>
      </c>
      <c r="N255" t="str">
        <f t="shared" si="16"/>
        <v/>
      </c>
    </row>
    <row r="256" spans="7:14" ht="15.6" thickBot="1" x14ac:dyDescent="0.35">
      <c r="G256" s="10"/>
      <c r="J256" s="8"/>
      <c r="K256" s="2" t="str">
        <f t="shared" si="13"/>
        <v/>
      </c>
      <c r="L256" s="3" t="str">
        <f t="shared" si="14"/>
        <v/>
      </c>
      <c r="M256" s="2" t="str">
        <f t="shared" si="15"/>
        <v/>
      </c>
      <c r="N256" t="str">
        <f t="shared" si="16"/>
        <v/>
      </c>
    </row>
    <row r="257" spans="7:14" ht="15.6" thickBot="1" x14ac:dyDescent="0.35">
      <c r="G257" s="10"/>
      <c r="J257" s="8"/>
      <c r="K257" s="2" t="str">
        <f t="shared" si="13"/>
        <v/>
      </c>
      <c r="L257" s="3" t="str">
        <f t="shared" si="14"/>
        <v/>
      </c>
      <c r="M257" s="2" t="str">
        <f t="shared" si="15"/>
        <v/>
      </c>
      <c r="N257" t="str">
        <f t="shared" si="16"/>
        <v/>
      </c>
    </row>
    <row r="258" spans="7:14" ht="15.6" thickBot="1" x14ac:dyDescent="0.35">
      <c r="G258" s="10"/>
      <c r="J258" s="8"/>
      <c r="K258" s="2" t="str">
        <f t="shared" si="13"/>
        <v/>
      </c>
      <c r="L258" s="3" t="str">
        <f t="shared" si="14"/>
        <v/>
      </c>
      <c r="M258" s="2" t="str">
        <f t="shared" si="15"/>
        <v/>
      </c>
      <c r="N258" t="str">
        <f t="shared" si="16"/>
        <v/>
      </c>
    </row>
    <row r="259" spans="7:14" ht="15.6" thickBot="1" x14ac:dyDescent="0.35">
      <c r="G259" s="10"/>
      <c r="J259" s="8"/>
      <c r="K259" s="2" t="str">
        <f t="shared" si="13"/>
        <v/>
      </c>
      <c r="L259" s="3" t="str">
        <f t="shared" si="14"/>
        <v/>
      </c>
      <c r="M259" s="2" t="str">
        <f t="shared" si="15"/>
        <v/>
      </c>
      <c r="N259" t="str">
        <f t="shared" si="16"/>
        <v/>
      </c>
    </row>
    <row r="260" spans="7:14" ht="15.6" thickBot="1" x14ac:dyDescent="0.35">
      <c r="G260" s="10"/>
      <c r="J260" s="8"/>
      <c r="K260" s="2" t="str">
        <f t="shared" si="13"/>
        <v/>
      </c>
      <c r="L260" s="3" t="str">
        <f t="shared" si="14"/>
        <v/>
      </c>
      <c r="M260" s="2" t="str">
        <f t="shared" si="15"/>
        <v/>
      </c>
      <c r="N260" t="str">
        <f t="shared" si="16"/>
        <v/>
      </c>
    </row>
    <row r="261" spans="7:14" ht="15.6" thickBot="1" x14ac:dyDescent="0.35">
      <c r="G261" s="10"/>
      <c r="J261" s="8"/>
      <c r="K261" s="2" t="str">
        <f t="shared" ref="K261:K324" si="17">SUBSTITUTE(I261,CHAR(10),"&lt;br&gt;")</f>
        <v/>
      </c>
      <c r="L261" s="3" t="str">
        <f t="shared" ref="L261:L324" si="18">IF(B261="","","{"&amp;$M$1&amp;"no"&amp;$M$1&amp;":"&amp;$M$1&amp;""&amp;B261&amp;""&amp;$M$1&amp;","&amp;$M$1&amp;"name"&amp;$M$1&amp;":"&amp;$M$1&amp;""&amp;C261&amp;""&amp;$M$1&amp;","&amp;$M$1&amp;"category"&amp;$M$1&amp;":"&amp;$M$1&amp;""&amp;D261&amp;""&amp;$M$1&amp;","&amp;$M$1&amp;"price"&amp;$M$1&amp;":"&amp;E261&amp;","&amp;$M$1&amp;"quantity"&amp;$M$1&amp;":"&amp;F261&amp;","&amp;$M$1&amp;"discount"&amp;$M$1&amp;":"&amp;G261*100&amp;","&amp;$M$1&amp;"images"&amp;$M$1&amp;":"&amp;$M$1&amp;""&amp;H261&amp;""&amp;$M$1&amp;","&amp;$M$1&amp;"description"&amp;$M$1&amp;":"&amp;$M$1&amp;""&amp;K261&amp;""&amp;$M$1&amp;"}")</f>
        <v/>
      </c>
      <c r="M261" s="2" t="str">
        <f t="shared" ref="M261:M324" si="19">IF(L262="","",",")</f>
        <v/>
      </c>
      <c r="N261" t="str">
        <f t="shared" si="16"/>
        <v/>
      </c>
    </row>
    <row r="262" spans="7:14" ht="15.6" thickBot="1" x14ac:dyDescent="0.35">
      <c r="G262" s="10"/>
      <c r="J262" s="8"/>
      <c r="K262" s="2" t="str">
        <f t="shared" si="17"/>
        <v/>
      </c>
      <c r="L262" s="3" t="str">
        <f t="shared" si="18"/>
        <v/>
      </c>
      <c r="M262" s="2" t="str">
        <f t="shared" si="19"/>
        <v/>
      </c>
      <c r="N262" t="str">
        <f t="shared" si="16"/>
        <v/>
      </c>
    </row>
    <row r="263" spans="7:14" ht="15.6" thickBot="1" x14ac:dyDescent="0.35">
      <c r="G263" s="10"/>
      <c r="J263" s="8"/>
      <c r="K263" s="2" t="str">
        <f t="shared" si="17"/>
        <v/>
      </c>
      <c r="L263" s="3" t="str">
        <f t="shared" si="18"/>
        <v/>
      </c>
      <c r="M263" s="2" t="str">
        <f t="shared" si="19"/>
        <v/>
      </c>
      <c r="N263" t="str">
        <f t="shared" si="16"/>
        <v/>
      </c>
    </row>
    <row r="264" spans="7:14" ht="15.6" thickBot="1" x14ac:dyDescent="0.35">
      <c r="G264" s="10"/>
      <c r="J264" s="8"/>
      <c r="K264" s="2" t="str">
        <f t="shared" si="17"/>
        <v/>
      </c>
      <c r="L264" s="3" t="str">
        <f t="shared" si="18"/>
        <v/>
      </c>
      <c r="M264" s="2" t="str">
        <f t="shared" si="19"/>
        <v/>
      </c>
      <c r="N264" t="str">
        <f t="shared" si="16"/>
        <v/>
      </c>
    </row>
    <row r="265" spans="7:14" ht="15.6" thickBot="1" x14ac:dyDescent="0.35">
      <c r="G265" s="10"/>
      <c r="J265" s="8"/>
      <c r="K265" s="2" t="str">
        <f t="shared" si="17"/>
        <v/>
      </c>
      <c r="L265" s="3" t="str">
        <f t="shared" si="18"/>
        <v/>
      </c>
      <c r="M265" s="2" t="str">
        <f t="shared" si="19"/>
        <v/>
      </c>
      <c r="N265" t="str">
        <f t="shared" ref="N265:N328" si="20">_xlfn.CONCAT(L265,M265)</f>
        <v/>
      </c>
    </row>
    <row r="266" spans="7:14" ht="15.6" thickBot="1" x14ac:dyDescent="0.35">
      <c r="G266" s="10"/>
      <c r="J266" s="8"/>
      <c r="K266" s="2" t="str">
        <f t="shared" si="17"/>
        <v/>
      </c>
      <c r="L266" s="3" t="str">
        <f t="shared" si="18"/>
        <v/>
      </c>
      <c r="M266" s="2" t="str">
        <f t="shared" si="19"/>
        <v/>
      </c>
      <c r="N266" t="str">
        <f t="shared" si="20"/>
        <v/>
      </c>
    </row>
    <row r="267" spans="7:14" ht="15.6" thickBot="1" x14ac:dyDescent="0.35">
      <c r="G267" s="10"/>
      <c r="J267" s="8"/>
      <c r="K267" s="2" t="str">
        <f t="shared" si="17"/>
        <v/>
      </c>
      <c r="L267" s="3" t="str">
        <f t="shared" si="18"/>
        <v/>
      </c>
      <c r="M267" s="2" t="str">
        <f t="shared" si="19"/>
        <v/>
      </c>
      <c r="N267" t="str">
        <f t="shared" si="20"/>
        <v/>
      </c>
    </row>
    <row r="268" spans="7:14" ht="15.6" thickBot="1" x14ac:dyDescent="0.35">
      <c r="G268" s="10"/>
      <c r="J268" s="8"/>
      <c r="K268" s="2" t="str">
        <f t="shared" si="17"/>
        <v/>
      </c>
      <c r="L268" s="3" t="str">
        <f t="shared" si="18"/>
        <v/>
      </c>
      <c r="M268" s="2" t="str">
        <f t="shared" si="19"/>
        <v/>
      </c>
      <c r="N268" t="str">
        <f t="shared" si="20"/>
        <v/>
      </c>
    </row>
    <row r="269" spans="7:14" ht="15.6" thickBot="1" x14ac:dyDescent="0.35">
      <c r="G269" s="10"/>
      <c r="J269" s="8"/>
      <c r="K269" s="2" t="str">
        <f t="shared" si="17"/>
        <v/>
      </c>
      <c r="L269" s="3" t="str">
        <f t="shared" si="18"/>
        <v/>
      </c>
      <c r="M269" s="2" t="str">
        <f t="shared" si="19"/>
        <v/>
      </c>
      <c r="N269" t="str">
        <f t="shared" si="20"/>
        <v/>
      </c>
    </row>
    <row r="270" spans="7:14" ht="15.6" thickBot="1" x14ac:dyDescent="0.35">
      <c r="G270" s="10"/>
      <c r="J270" s="8"/>
      <c r="K270" s="2" t="str">
        <f t="shared" si="17"/>
        <v/>
      </c>
      <c r="L270" s="3" t="str">
        <f t="shared" si="18"/>
        <v/>
      </c>
      <c r="M270" s="2" t="str">
        <f t="shared" si="19"/>
        <v/>
      </c>
      <c r="N270" t="str">
        <f t="shared" si="20"/>
        <v/>
      </c>
    </row>
    <row r="271" spans="7:14" ht="15.6" thickBot="1" x14ac:dyDescent="0.35">
      <c r="G271" s="10"/>
      <c r="J271" s="8"/>
      <c r="K271" s="2" t="str">
        <f t="shared" si="17"/>
        <v/>
      </c>
      <c r="L271" s="3" t="str">
        <f t="shared" si="18"/>
        <v/>
      </c>
      <c r="M271" s="2" t="str">
        <f t="shared" si="19"/>
        <v/>
      </c>
      <c r="N271" t="str">
        <f t="shared" si="20"/>
        <v/>
      </c>
    </row>
    <row r="272" spans="7:14" ht="15.6" thickBot="1" x14ac:dyDescent="0.35">
      <c r="G272" s="10"/>
      <c r="J272" s="8"/>
      <c r="K272" s="2" t="str">
        <f t="shared" si="17"/>
        <v/>
      </c>
      <c r="L272" s="3" t="str">
        <f t="shared" si="18"/>
        <v/>
      </c>
      <c r="M272" s="2" t="str">
        <f t="shared" si="19"/>
        <v/>
      </c>
      <c r="N272" t="str">
        <f t="shared" si="20"/>
        <v/>
      </c>
    </row>
    <row r="273" spans="7:14" ht="15.6" thickBot="1" x14ac:dyDescent="0.35">
      <c r="G273" s="10"/>
      <c r="J273" s="8"/>
      <c r="K273" s="2" t="str">
        <f t="shared" si="17"/>
        <v/>
      </c>
      <c r="L273" s="3" t="str">
        <f t="shared" si="18"/>
        <v/>
      </c>
      <c r="M273" s="2" t="str">
        <f t="shared" si="19"/>
        <v/>
      </c>
      <c r="N273" t="str">
        <f t="shared" si="20"/>
        <v/>
      </c>
    </row>
    <row r="274" spans="7:14" ht="15.6" thickBot="1" x14ac:dyDescent="0.35">
      <c r="G274" s="10"/>
      <c r="J274" s="8"/>
      <c r="K274" s="2" t="str">
        <f t="shared" si="17"/>
        <v/>
      </c>
      <c r="L274" s="3" t="str">
        <f t="shared" si="18"/>
        <v/>
      </c>
      <c r="M274" s="2" t="str">
        <f t="shared" si="19"/>
        <v/>
      </c>
      <c r="N274" t="str">
        <f t="shared" si="20"/>
        <v/>
      </c>
    </row>
    <row r="275" spans="7:14" ht="15.6" thickBot="1" x14ac:dyDescent="0.35">
      <c r="G275" s="10"/>
      <c r="J275" s="8"/>
      <c r="K275" s="2" t="str">
        <f t="shared" si="17"/>
        <v/>
      </c>
      <c r="L275" s="3" t="str">
        <f t="shared" si="18"/>
        <v/>
      </c>
      <c r="M275" s="2" t="str">
        <f t="shared" si="19"/>
        <v/>
      </c>
      <c r="N275" t="str">
        <f t="shared" si="20"/>
        <v/>
      </c>
    </row>
    <row r="276" spans="7:14" ht="15.6" thickBot="1" x14ac:dyDescent="0.35">
      <c r="G276" s="10"/>
      <c r="J276" s="8"/>
      <c r="K276" s="2" t="str">
        <f t="shared" si="17"/>
        <v/>
      </c>
      <c r="L276" s="3" t="str">
        <f t="shared" si="18"/>
        <v/>
      </c>
      <c r="M276" s="2" t="str">
        <f t="shared" si="19"/>
        <v/>
      </c>
      <c r="N276" t="str">
        <f t="shared" si="20"/>
        <v/>
      </c>
    </row>
    <row r="277" spans="7:14" ht="15.6" thickBot="1" x14ac:dyDescent="0.35">
      <c r="G277" s="10"/>
      <c r="J277" s="8"/>
      <c r="K277" s="2" t="str">
        <f t="shared" si="17"/>
        <v/>
      </c>
      <c r="L277" s="3" t="str">
        <f t="shared" si="18"/>
        <v/>
      </c>
      <c r="M277" s="2" t="str">
        <f t="shared" si="19"/>
        <v/>
      </c>
      <c r="N277" t="str">
        <f t="shared" si="20"/>
        <v/>
      </c>
    </row>
    <row r="278" spans="7:14" ht="15.6" thickBot="1" x14ac:dyDescent="0.35">
      <c r="G278" s="10"/>
      <c r="J278" s="8"/>
      <c r="K278" s="2" t="str">
        <f t="shared" si="17"/>
        <v/>
      </c>
      <c r="L278" s="3" t="str">
        <f t="shared" si="18"/>
        <v/>
      </c>
      <c r="M278" s="2" t="str">
        <f t="shared" si="19"/>
        <v/>
      </c>
      <c r="N278" t="str">
        <f t="shared" si="20"/>
        <v/>
      </c>
    </row>
    <row r="279" spans="7:14" ht="15.6" thickBot="1" x14ac:dyDescent="0.35">
      <c r="G279" s="10"/>
      <c r="J279" s="8"/>
      <c r="K279" s="2" t="str">
        <f t="shared" si="17"/>
        <v/>
      </c>
      <c r="L279" s="3" t="str">
        <f t="shared" si="18"/>
        <v/>
      </c>
      <c r="M279" s="2" t="str">
        <f t="shared" si="19"/>
        <v/>
      </c>
      <c r="N279" t="str">
        <f t="shared" si="20"/>
        <v/>
      </c>
    </row>
    <row r="280" spans="7:14" ht="15.6" thickBot="1" x14ac:dyDescent="0.35">
      <c r="G280" s="10"/>
      <c r="J280" s="8"/>
      <c r="K280" s="2" t="str">
        <f t="shared" si="17"/>
        <v/>
      </c>
      <c r="L280" s="3" t="str">
        <f t="shared" si="18"/>
        <v/>
      </c>
      <c r="M280" s="2" t="str">
        <f t="shared" si="19"/>
        <v/>
      </c>
      <c r="N280" t="str">
        <f t="shared" si="20"/>
        <v/>
      </c>
    </row>
    <row r="281" spans="7:14" ht="15.6" thickBot="1" x14ac:dyDescent="0.35">
      <c r="G281" s="10"/>
      <c r="J281" s="8"/>
      <c r="K281" s="2" t="str">
        <f t="shared" si="17"/>
        <v/>
      </c>
      <c r="L281" s="3" t="str">
        <f t="shared" si="18"/>
        <v/>
      </c>
      <c r="M281" s="2" t="str">
        <f t="shared" si="19"/>
        <v/>
      </c>
      <c r="N281" t="str">
        <f t="shared" si="20"/>
        <v/>
      </c>
    </row>
    <row r="282" spans="7:14" ht="15.6" thickBot="1" x14ac:dyDescent="0.35">
      <c r="G282" s="10"/>
      <c r="J282" s="8"/>
      <c r="K282" s="2" t="str">
        <f t="shared" si="17"/>
        <v/>
      </c>
      <c r="L282" s="3" t="str">
        <f t="shared" si="18"/>
        <v/>
      </c>
      <c r="M282" s="2" t="str">
        <f t="shared" si="19"/>
        <v/>
      </c>
      <c r="N282" t="str">
        <f t="shared" si="20"/>
        <v/>
      </c>
    </row>
    <row r="283" spans="7:14" ht="15.6" thickBot="1" x14ac:dyDescent="0.35">
      <c r="G283" s="10"/>
      <c r="J283" s="8"/>
      <c r="K283" s="2" t="str">
        <f t="shared" si="17"/>
        <v/>
      </c>
      <c r="L283" s="3" t="str">
        <f t="shared" si="18"/>
        <v/>
      </c>
      <c r="M283" s="2" t="str">
        <f t="shared" si="19"/>
        <v/>
      </c>
      <c r="N283" t="str">
        <f t="shared" si="20"/>
        <v/>
      </c>
    </row>
    <row r="284" spans="7:14" ht="15.6" thickBot="1" x14ac:dyDescent="0.35">
      <c r="G284" s="10"/>
      <c r="J284" s="8"/>
      <c r="K284" s="2" t="str">
        <f t="shared" si="17"/>
        <v/>
      </c>
      <c r="L284" s="3" t="str">
        <f t="shared" si="18"/>
        <v/>
      </c>
      <c r="M284" s="2" t="str">
        <f t="shared" si="19"/>
        <v/>
      </c>
      <c r="N284" t="str">
        <f t="shared" si="20"/>
        <v/>
      </c>
    </row>
    <row r="285" spans="7:14" ht="15.6" thickBot="1" x14ac:dyDescent="0.35">
      <c r="G285" s="10"/>
      <c r="J285" s="8"/>
      <c r="K285" s="2" t="str">
        <f t="shared" si="17"/>
        <v/>
      </c>
      <c r="L285" s="3" t="str">
        <f t="shared" si="18"/>
        <v/>
      </c>
      <c r="M285" s="2" t="str">
        <f t="shared" si="19"/>
        <v/>
      </c>
      <c r="N285" t="str">
        <f t="shared" si="20"/>
        <v/>
      </c>
    </row>
    <row r="286" spans="7:14" ht="15.6" thickBot="1" x14ac:dyDescent="0.35">
      <c r="G286" s="10"/>
      <c r="J286" s="8"/>
      <c r="K286" s="2" t="str">
        <f t="shared" si="17"/>
        <v/>
      </c>
      <c r="L286" s="3" t="str">
        <f t="shared" si="18"/>
        <v/>
      </c>
      <c r="M286" s="2" t="str">
        <f t="shared" si="19"/>
        <v/>
      </c>
      <c r="N286" t="str">
        <f t="shared" si="20"/>
        <v/>
      </c>
    </row>
    <row r="287" spans="7:14" ht="15.6" thickBot="1" x14ac:dyDescent="0.35">
      <c r="G287" s="10"/>
      <c r="J287" s="8"/>
      <c r="K287" s="2" t="str">
        <f t="shared" si="17"/>
        <v/>
      </c>
      <c r="L287" s="3" t="str">
        <f t="shared" si="18"/>
        <v/>
      </c>
      <c r="M287" s="2" t="str">
        <f t="shared" si="19"/>
        <v/>
      </c>
      <c r="N287" t="str">
        <f t="shared" si="20"/>
        <v/>
      </c>
    </row>
    <row r="288" spans="7:14" ht="15.6" thickBot="1" x14ac:dyDescent="0.35">
      <c r="G288" s="10"/>
      <c r="J288" s="8"/>
      <c r="K288" s="2" t="str">
        <f t="shared" si="17"/>
        <v/>
      </c>
      <c r="L288" s="3" t="str">
        <f t="shared" si="18"/>
        <v/>
      </c>
      <c r="M288" s="2" t="str">
        <f t="shared" si="19"/>
        <v/>
      </c>
      <c r="N288" t="str">
        <f t="shared" si="20"/>
        <v/>
      </c>
    </row>
    <row r="289" spans="7:14" ht="15.6" thickBot="1" x14ac:dyDescent="0.35">
      <c r="G289" s="10"/>
      <c r="J289" s="8"/>
      <c r="K289" s="2" t="str">
        <f t="shared" si="17"/>
        <v/>
      </c>
      <c r="L289" s="3" t="str">
        <f t="shared" si="18"/>
        <v/>
      </c>
      <c r="M289" s="2" t="str">
        <f t="shared" si="19"/>
        <v/>
      </c>
      <c r="N289" t="str">
        <f t="shared" si="20"/>
        <v/>
      </c>
    </row>
    <row r="290" spans="7:14" ht="15.6" thickBot="1" x14ac:dyDescent="0.35">
      <c r="G290" s="10"/>
      <c r="J290" s="8"/>
      <c r="K290" s="2" t="str">
        <f t="shared" si="17"/>
        <v/>
      </c>
      <c r="L290" s="3" t="str">
        <f t="shared" si="18"/>
        <v/>
      </c>
      <c r="M290" s="2" t="str">
        <f t="shared" si="19"/>
        <v/>
      </c>
      <c r="N290" t="str">
        <f t="shared" si="20"/>
        <v/>
      </c>
    </row>
    <row r="291" spans="7:14" ht="15.6" thickBot="1" x14ac:dyDescent="0.35">
      <c r="G291" s="10"/>
      <c r="J291" s="8"/>
      <c r="K291" s="2" t="str">
        <f t="shared" si="17"/>
        <v/>
      </c>
      <c r="L291" s="3" t="str">
        <f t="shared" si="18"/>
        <v/>
      </c>
      <c r="M291" s="2" t="str">
        <f t="shared" si="19"/>
        <v/>
      </c>
      <c r="N291" t="str">
        <f t="shared" si="20"/>
        <v/>
      </c>
    </row>
    <row r="292" spans="7:14" ht="15.6" thickBot="1" x14ac:dyDescent="0.35">
      <c r="G292" s="10"/>
      <c r="J292" s="8"/>
      <c r="K292" s="2" t="str">
        <f t="shared" si="17"/>
        <v/>
      </c>
      <c r="L292" s="3" t="str">
        <f t="shared" si="18"/>
        <v/>
      </c>
      <c r="M292" s="2" t="str">
        <f t="shared" si="19"/>
        <v/>
      </c>
      <c r="N292" t="str">
        <f t="shared" si="20"/>
        <v/>
      </c>
    </row>
    <row r="293" spans="7:14" ht="15.6" thickBot="1" x14ac:dyDescent="0.35">
      <c r="G293" s="10"/>
      <c r="J293" s="8"/>
      <c r="K293" s="2" t="str">
        <f t="shared" si="17"/>
        <v/>
      </c>
      <c r="L293" s="3" t="str">
        <f t="shared" si="18"/>
        <v/>
      </c>
      <c r="M293" s="2" t="str">
        <f t="shared" si="19"/>
        <v/>
      </c>
      <c r="N293" t="str">
        <f t="shared" si="20"/>
        <v/>
      </c>
    </row>
    <row r="294" spans="7:14" ht="15.6" thickBot="1" x14ac:dyDescent="0.35">
      <c r="G294" s="10"/>
      <c r="J294" s="8"/>
      <c r="K294" s="2" t="str">
        <f t="shared" si="17"/>
        <v/>
      </c>
      <c r="L294" s="3" t="str">
        <f t="shared" si="18"/>
        <v/>
      </c>
      <c r="M294" s="2" t="str">
        <f t="shared" si="19"/>
        <v/>
      </c>
      <c r="N294" t="str">
        <f t="shared" si="20"/>
        <v/>
      </c>
    </row>
    <row r="295" spans="7:14" ht="15.6" thickBot="1" x14ac:dyDescent="0.35">
      <c r="G295" s="10"/>
      <c r="J295" s="8"/>
      <c r="K295" s="2" t="str">
        <f t="shared" si="17"/>
        <v/>
      </c>
      <c r="L295" s="3" t="str">
        <f t="shared" si="18"/>
        <v/>
      </c>
      <c r="M295" s="2" t="str">
        <f t="shared" si="19"/>
        <v/>
      </c>
      <c r="N295" t="str">
        <f t="shared" si="20"/>
        <v/>
      </c>
    </row>
    <row r="296" spans="7:14" ht="15.6" thickBot="1" x14ac:dyDescent="0.35">
      <c r="G296" s="10"/>
      <c r="J296" s="8"/>
      <c r="K296" s="2" t="str">
        <f t="shared" si="17"/>
        <v/>
      </c>
      <c r="L296" s="3" t="str">
        <f t="shared" si="18"/>
        <v/>
      </c>
      <c r="M296" s="2" t="str">
        <f t="shared" si="19"/>
        <v/>
      </c>
      <c r="N296" t="str">
        <f t="shared" si="20"/>
        <v/>
      </c>
    </row>
    <row r="297" spans="7:14" ht="15.6" thickBot="1" x14ac:dyDescent="0.35">
      <c r="G297" s="10"/>
      <c r="J297" s="8"/>
      <c r="K297" s="2" t="str">
        <f t="shared" si="17"/>
        <v/>
      </c>
      <c r="L297" s="3" t="str">
        <f t="shared" si="18"/>
        <v/>
      </c>
      <c r="M297" s="2" t="str">
        <f t="shared" si="19"/>
        <v/>
      </c>
      <c r="N297" t="str">
        <f t="shared" si="20"/>
        <v/>
      </c>
    </row>
    <row r="298" spans="7:14" ht="15.6" thickBot="1" x14ac:dyDescent="0.35">
      <c r="G298" s="10"/>
      <c r="J298" s="8"/>
      <c r="K298" s="2" t="str">
        <f t="shared" si="17"/>
        <v/>
      </c>
      <c r="L298" s="3" t="str">
        <f t="shared" si="18"/>
        <v/>
      </c>
      <c r="M298" s="2" t="str">
        <f t="shared" si="19"/>
        <v/>
      </c>
      <c r="N298" t="str">
        <f t="shared" si="20"/>
        <v/>
      </c>
    </row>
    <row r="299" spans="7:14" ht="15.6" thickBot="1" x14ac:dyDescent="0.35">
      <c r="G299" s="10"/>
      <c r="J299" s="8"/>
      <c r="K299" s="2" t="str">
        <f t="shared" si="17"/>
        <v/>
      </c>
      <c r="L299" s="3" t="str">
        <f t="shared" si="18"/>
        <v/>
      </c>
      <c r="M299" s="2" t="str">
        <f t="shared" si="19"/>
        <v/>
      </c>
      <c r="N299" t="str">
        <f t="shared" si="20"/>
        <v/>
      </c>
    </row>
    <row r="300" spans="7:14" ht="15.6" thickBot="1" x14ac:dyDescent="0.35">
      <c r="G300" s="10"/>
      <c r="J300" s="8"/>
      <c r="K300" s="2" t="str">
        <f t="shared" si="17"/>
        <v/>
      </c>
      <c r="L300" s="3" t="str">
        <f t="shared" si="18"/>
        <v/>
      </c>
      <c r="M300" s="2" t="str">
        <f t="shared" si="19"/>
        <v/>
      </c>
      <c r="N300" t="str">
        <f t="shared" si="20"/>
        <v/>
      </c>
    </row>
    <row r="301" spans="7:14" ht="15.6" thickBot="1" x14ac:dyDescent="0.35">
      <c r="G301" s="10"/>
      <c r="J301" s="8"/>
      <c r="K301" s="2" t="str">
        <f t="shared" si="17"/>
        <v/>
      </c>
      <c r="L301" s="3" t="str">
        <f t="shared" si="18"/>
        <v/>
      </c>
      <c r="M301" s="2" t="str">
        <f t="shared" si="19"/>
        <v/>
      </c>
      <c r="N301" t="str">
        <f t="shared" si="20"/>
        <v/>
      </c>
    </row>
    <row r="302" spans="7:14" ht="15.6" thickBot="1" x14ac:dyDescent="0.35">
      <c r="G302" s="10"/>
      <c r="J302" s="8"/>
      <c r="K302" s="2" t="str">
        <f t="shared" si="17"/>
        <v/>
      </c>
      <c r="L302" s="3" t="str">
        <f t="shared" si="18"/>
        <v/>
      </c>
      <c r="M302" s="2" t="str">
        <f t="shared" si="19"/>
        <v/>
      </c>
      <c r="N302" t="str">
        <f t="shared" si="20"/>
        <v/>
      </c>
    </row>
    <row r="303" spans="7:14" ht="15.6" thickBot="1" x14ac:dyDescent="0.35">
      <c r="G303" s="10"/>
      <c r="J303" s="8"/>
      <c r="K303" s="2" t="str">
        <f t="shared" si="17"/>
        <v/>
      </c>
      <c r="L303" s="3" t="str">
        <f t="shared" si="18"/>
        <v/>
      </c>
      <c r="M303" s="2" t="str">
        <f t="shared" si="19"/>
        <v/>
      </c>
      <c r="N303" t="str">
        <f t="shared" si="20"/>
        <v/>
      </c>
    </row>
    <row r="304" spans="7:14" ht="15.6" thickBot="1" x14ac:dyDescent="0.35">
      <c r="G304" s="10"/>
      <c r="J304" s="8"/>
      <c r="K304" s="2" t="str">
        <f t="shared" si="17"/>
        <v/>
      </c>
      <c r="L304" s="3" t="str">
        <f t="shared" si="18"/>
        <v/>
      </c>
      <c r="M304" s="2" t="str">
        <f t="shared" si="19"/>
        <v/>
      </c>
      <c r="N304" t="str">
        <f t="shared" si="20"/>
        <v/>
      </c>
    </row>
    <row r="305" spans="7:14" ht="15.6" thickBot="1" x14ac:dyDescent="0.35">
      <c r="G305" s="10"/>
      <c r="J305" s="8"/>
      <c r="K305" s="2" t="str">
        <f t="shared" si="17"/>
        <v/>
      </c>
      <c r="L305" s="3" t="str">
        <f t="shared" si="18"/>
        <v/>
      </c>
      <c r="M305" s="2" t="str">
        <f t="shared" si="19"/>
        <v/>
      </c>
      <c r="N305" t="str">
        <f t="shared" si="20"/>
        <v/>
      </c>
    </row>
    <row r="306" spans="7:14" ht="15.6" thickBot="1" x14ac:dyDescent="0.35">
      <c r="G306" s="10"/>
      <c r="J306" s="8"/>
      <c r="K306" s="2" t="str">
        <f t="shared" si="17"/>
        <v/>
      </c>
      <c r="L306" s="3" t="str">
        <f t="shared" si="18"/>
        <v/>
      </c>
      <c r="M306" s="2" t="str">
        <f t="shared" si="19"/>
        <v/>
      </c>
      <c r="N306" t="str">
        <f t="shared" si="20"/>
        <v/>
      </c>
    </row>
    <row r="307" spans="7:14" ht="15.6" thickBot="1" x14ac:dyDescent="0.35">
      <c r="G307" s="10"/>
      <c r="J307" s="8"/>
      <c r="K307" s="2" t="str">
        <f t="shared" si="17"/>
        <v/>
      </c>
      <c r="L307" s="3" t="str">
        <f t="shared" si="18"/>
        <v/>
      </c>
      <c r="M307" s="2" t="str">
        <f t="shared" si="19"/>
        <v/>
      </c>
      <c r="N307" t="str">
        <f t="shared" si="20"/>
        <v/>
      </c>
    </row>
    <row r="308" spans="7:14" ht="15.6" thickBot="1" x14ac:dyDescent="0.35">
      <c r="G308" s="10"/>
      <c r="J308" s="8"/>
      <c r="K308" s="2" t="str">
        <f t="shared" si="17"/>
        <v/>
      </c>
      <c r="L308" s="3" t="str">
        <f t="shared" si="18"/>
        <v/>
      </c>
      <c r="M308" s="2" t="str">
        <f t="shared" si="19"/>
        <v/>
      </c>
      <c r="N308" t="str">
        <f t="shared" si="20"/>
        <v/>
      </c>
    </row>
    <row r="309" spans="7:14" ht="15.6" thickBot="1" x14ac:dyDescent="0.35">
      <c r="G309" s="10"/>
      <c r="J309" s="8"/>
      <c r="K309" s="2" t="str">
        <f t="shared" si="17"/>
        <v/>
      </c>
      <c r="L309" s="3" t="str">
        <f t="shared" si="18"/>
        <v/>
      </c>
      <c r="M309" s="2" t="str">
        <f t="shared" si="19"/>
        <v/>
      </c>
      <c r="N309" t="str">
        <f t="shared" si="20"/>
        <v/>
      </c>
    </row>
    <row r="310" spans="7:14" ht="15.6" thickBot="1" x14ac:dyDescent="0.35">
      <c r="G310" s="10"/>
      <c r="J310" s="8"/>
      <c r="K310" s="2" t="str">
        <f t="shared" si="17"/>
        <v/>
      </c>
      <c r="L310" s="3" t="str">
        <f t="shared" si="18"/>
        <v/>
      </c>
      <c r="M310" s="2" t="str">
        <f t="shared" si="19"/>
        <v/>
      </c>
      <c r="N310" t="str">
        <f t="shared" si="20"/>
        <v/>
      </c>
    </row>
    <row r="311" spans="7:14" ht="15.6" thickBot="1" x14ac:dyDescent="0.35">
      <c r="G311" s="10"/>
      <c r="J311" s="8"/>
      <c r="K311" s="2" t="str">
        <f t="shared" si="17"/>
        <v/>
      </c>
      <c r="L311" s="3" t="str">
        <f t="shared" si="18"/>
        <v/>
      </c>
      <c r="M311" s="2" t="str">
        <f t="shared" si="19"/>
        <v/>
      </c>
      <c r="N311" t="str">
        <f t="shared" si="20"/>
        <v/>
      </c>
    </row>
    <row r="312" spans="7:14" ht="15.6" thickBot="1" x14ac:dyDescent="0.35">
      <c r="G312" s="10"/>
      <c r="J312" s="8"/>
      <c r="K312" s="2" t="str">
        <f t="shared" si="17"/>
        <v/>
      </c>
      <c r="L312" s="3" t="str">
        <f t="shared" si="18"/>
        <v/>
      </c>
      <c r="M312" s="2" t="str">
        <f t="shared" si="19"/>
        <v/>
      </c>
      <c r="N312" t="str">
        <f t="shared" si="20"/>
        <v/>
      </c>
    </row>
    <row r="313" spans="7:14" ht="15.6" thickBot="1" x14ac:dyDescent="0.35">
      <c r="G313" s="10"/>
      <c r="J313" s="8"/>
      <c r="K313" s="2" t="str">
        <f t="shared" si="17"/>
        <v/>
      </c>
      <c r="L313" s="3" t="str">
        <f t="shared" si="18"/>
        <v/>
      </c>
      <c r="M313" s="2" t="str">
        <f t="shared" si="19"/>
        <v/>
      </c>
      <c r="N313" t="str">
        <f t="shared" si="20"/>
        <v/>
      </c>
    </row>
    <row r="314" spans="7:14" ht="15.6" thickBot="1" x14ac:dyDescent="0.35">
      <c r="G314" s="10"/>
      <c r="J314" s="8"/>
      <c r="K314" s="2" t="str">
        <f t="shared" si="17"/>
        <v/>
      </c>
      <c r="L314" s="3" t="str">
        <f t="shared" si="18"/>
        <v/>
      </c>
      <c r="M314" s="2" t="str">
        <f t="shared" si="19"/>
        <v/>
      </c>
      <c r="N314" t="str">
        <f t="shared" si="20"/>
        <v/>
      </c>
    </row>
    <row r="315" spans="7:14" ht="15.6" thickBot="1" x14ac:dyDescent="0.35">
      <c r="G315" s="10"/>
      <c r="J315" s="8"/>
      <c r="K315" s="2" t="str">
        <f t="shared" si="17"/>
        <v/>
      </c>
      <c r="L315" s="3" t="str">
        <f t="shared" si="18"/>
        <v/>
      </c>
      <c r="M315" s="2" t="str">
        <f t="shared" si="19"/>
        <v/>
      </c>
      <c r="N315" t="str">
        <f t="shared" si="20"/>
        <v/>
      </c>
    </row>
    <row r="316" spans="7:14" ht="15.6" thickBot="1" x14ac:dyDescent="0.35">
      <c r="G316" s="10"/>
      <c r="J316" s="8"/>
      <c r="K316" s="2" t="str">
        <f t="shared" si="17"/>
        <v/>
      </c>
      <c r="L316" s="3" t="str">
        <f t="shared" si="18"/>
        <v/>
      </c>
      <c r="M316" s="2" t="str">
        <f t="shared" si="19"/>
        <v/>
      </c>
      <c r="N316" t="str">
        <f t="shared" si="20"/>
        <v/>
      </c>
    </row>
    <row r="317" spans="7:14" ht="15.6" thickBot="1" x14ac:dyDescent="0.35">
      <c r="G317" s="10"/>
      <c r="J317" s="8"/>
      <c r="K317" s="2" t="str">
        <f t="shared" si="17"/>
        <v/>
      </c>
      <c r="L317" s="3" t="str">
        <f t="shared" si="18"/>
        <v/>
      </c>
      <c r="M317" s="2" t="str">
        <f t="shared" si="19"/>
        <v/>
      </c>
      <c r="N317" t="str">
        <f t="shared" si="20"/>
        <v/>
      </c>
    </row>
    <row r="318" spans="7:14" ht="15.6" thickBot="1" x14ac:dyDescent="0.35">
      <c r="G318" s="10"/>
      <c r="J318" s="8"/>
      <c r="K318" s="2" t="str">
        <f t="shared" si="17"/>
        <v/>
      </c>
      <c r="L318" s="3" t="str">
        <f t="shared" si="18"/>
        <v/>
      </c>
      <c r="M318" s="2" t="str">
        <f t="shared" si="19"/>
        <v/>
      </c>
      <c r="N318" t="str">
        <f t="shared" si="20"/>
        <v/>
      </c>
    </row>
    <row r="319" spans="7:14" ht="15.6" thickBot="1" x14ac:dyDescent="0.35">
      <c r="G319" s="10"/>
      <c r="J319" s="8"/>
      <c r="K319" s="2" t="str">
        <f t="shared" si="17"/>
        <v/>
      </c>
      <c r="L319" s="3" t="str">
        <f t="shared" si="18"/>
        <v/>
      </c>
      <c r="M319" s="2" t="str">
        <f t="shared" si="19"/>
        <v/>
      </c>
      <c r="N319" t="str">
        <f t="shared" si="20"/>
        <v/>
      </c>
    </row>
    <row r="320" spans="7:14" ht="15.6" thickBot="1" x14ac:dyDescent="0.35">
      <c r="G320" s="10"/>
      <c r="J320" s="8"/>
      <c r="K320" s="2" t="str">
        <f t="shared" si="17"/>
        <v/>
      </c>
      <c r="L320" s="3" t="str">
        <f t="shared" si="18"/>
        <v/>
      </c>
      <c r="M320" s="2" t="str">
        <f t="shared" si="19"/>
        <v/>
      </c>
      <c r="N320" t="str">
        <f t="shared" si="20"/>
        <v/>
      </c>
    </row>
    <row r="321" spans="7:14" ht="15.6" thickBot="1" x14ac:dyDescent="0.35">
      <c r="G321" s="10"/>
      <c r="J321" s="8"/>
      <c r="K321" s="2" t="str">
        <f t="shared" si="17"/>
        <v/>
      </c>
      <c r="L321" s="3" t="str">
        <f t="shared" si="18"/>
        <v/>
      </c>
      <c r="M321" s="2" t="str">
        <f t="shared" si="19"/>
        <v/>
      </c>
      <c r="N321" t="str">
        <f t="shared" si="20"/>
        <v/>
      </c>
    </row>
    <row r="322" spans="7:14" ht="15.6" thickBot="1" x14ac:dyDescent="0.35">
      <c r="G322" s="10"/>
      <c r="J322" s="8"/>
      <c r="K322" s="2" t="str">
        <f t="shared" si="17"/>
        <v/>
      </c>
      <c r="L322" s="3" t="str">
        <f t="shared" si="18"/>
        <v/>
      </c>
      <c r="M322" s="2" t="str">
        <f t="shared" si="19"/>
        <v/>
      </c>
      <c r="N322" t="str">
        <f t="shared" si="20"/>
        <v/>
      </c>
    </row>
    <row r="323" spans="7:14" ht="15.6" thickBot="1" x14ac:dyDescent="0.35">
      <c r="G323" s="10"/>
      <c r="J323" s="8"/>
      <c r="K323" s="2" t="str">
        <f t="shared" si="17"/>
        <v/>
      </c>
      <c r="L323" s="3" t="str">
        <f t="shared" si="18"/>
        <v/>
      </c>
      <c r="M323" s="2" t="str">
        <f t="shared" si="19"/>
        <v/>
      </c>
      <c r="N323" t="str">
        <f t="shared" si="20"/>
        <v/>
      </c>
    </row>
    <row r="324" spans="7:14" ht="15.6" thickBot="1" x14ac:dyDescent="0.35">
      <c r="G324" s="10"/>
      <c r="J324" s="8"/>
      <c r="K324" s="2" t="str">
        <f t="shared" si="17"/>
        <v/>
      </c>
      <c r="L324" s="3" t="str">
        <f t="shared" si="18"/>
        <v/>
      </c>
      <c r="M324" s="2" t="str">
        <f t="shared" si="19"/>
        <v/>
      </c>
      <c r="N324" t="str">
        <f t="shared" si="20"/>
        <v/>
      </c>
    </row>
    <row r="325" spans="7:14" ht="15.6" thickBot="1" x14ac:dyDescent="0.35">
      <c r="G325" s="10"/>
      <c r="J325" s="8"/>
      <c r="K325" s="2" t="str">
        <f t="shared" ref="K325:K388" si="21">SUBSTITUTE(I325,CHAR(10),"&lt;br&gt;")</f>
        <v/>
      </c>
      <c r="L325" s="3" t="str">
        <f t="shared" ref="L325:L388" si="22">IF(B325="","","{"&amp;$M$1&amp;"no"&amp;$M$1&amp;":"&amp;$M$1&amp;""&amp;B325&amp;""&amp;$M$1&amp;","&amp;$M$1&amp;"name"&amp;$M$1&amp;":"&amp;$M$1&amp;""&amp;C325&amp;""&amp;$M$1&amp;","&amp;$M$1&amp;"category"&amp;$M$1&amp;":"&amp;$M$1&amp;""&amp;D325&amp;""&amp;$M$1&amp;","&amp;$M$1&amp;"price"&amp;$M$1&amp;":"&amp;E325&amp;","&amp;$M$1&amp;"quantity"&amp;$M$1&amp;":"&amp;F325&amp;","&amp;$M$1&amp;"discount"&amp;$M$1&amp;":"&amp;G325*100&amp;","&amp;$M$1&amp;"images"&amp;$M$1&amp;":"&amp;$M$1&amp;""&amp;H325&amp;""&amp;$M$1&amp;","&amp;$M$1&amp;"description"&amp;$M$1&amp;":"&amp;$M$1&amp;""&amp;K325&amp;""&amp;$M$1&amp;"}")</f>
        <v/>
      </c>
      <c r="M325" s="2" t="str">
        <f t="shared" ref="M325:M388" si="23">IF(L326="","",",")</f>
        <v/>
      </c>
      <c r="N325" t="str">
        <f t="shared" si="20"/>
        <v/>
      </c>
    </row>
    <row r="326" spans="7:14" ht="15.6" thickBot="1" x14ac:dyDescent="0.35">
      <c r="G326" s="10"/>
      <c r="J326" s="8"/>
      <c r="K326" s="2" t="str">
        <f t="shared" si="21"/>
        <v/>
      </c>
      <c r="L326" s="3" t="str">
        <f t="shared" si="22"/>
        <v/>
      </c>
      <c r="M326" s="2" t="str">
        <f t="shared" si="23"/>
        <v/>
      </c>
      <c r="N326" t="str">
        <f t="shared" si="20"/>
        <v/>
      </c>
    </row>
    <row r="327" spans="7:14" ht="15.6" thickBot="1" x14ac:dyDescent="0.35">
      <c r="G327" s="10"/>
      <c r="J327" s="8"/>
      <c r="K327" s="2" t="str">
        <f t="shared" si="21"/>
        <v/>
      </c>
      <c r="L327" s="3" t="str">
        <f t="shared" si="22"/>
        <v/>
      </c>
      <c r="M327" s="2" t="str">
        <f t="shared" si="23"/>
        <v/>
      </c>
      <c r="N327" t="str">
        <f t="shared" si="20"/>
        <v/>
      </c>
    </row>
    <row r="328" spans="7:14" ht="15.6" thickBot="1" x14ac:dyDescent="0.35">
      <c r="G328" s="10"/>
      <c r="J328" s="8"/>
      <c r="K328" s="2" t="str">
        <f t="shared" si="21"/>
        <v/>
      </c>
      <c r="L328" s="3" t="str">
        <f t="shared" si="22"/>
        <v/>
      </c>
      <c r="M328" s="2" t="str">
        <f t="shared" si="23"/>
        <v/>
      </c>
      <c r="N328" t="str">
        <f t="shared" si="20"/>
        <v/>
      </c>
    </row>
    <row r="329" spans="7:14" ht="15.6" thickBot="1" x14ac:dyDescent="0.35">
      <c r="G329" s="10"/>
      <c r="J329" s="8"/>
      <c r="K329" s="2" t="str">
        <f t="shared" si="21"/>
        <v/>
      </c>
      <c r="L329" s="3" t="str">
        <f t="shared" si="22"/>
        <v/>
      </c>
      <c r="M329" s="2" t="str">
        <f t="shared" si="23"/>
        <v/>
      </c>
      <c r="N329" t="str">
        <f t="shared" ref="N329:N392" si="24">_xlfn.CONCAT(L329,M329)</f>
        <v/>
      </c>
    </row>
    <row r="330" spans="7:14" ht="15.6" thickBot="1" x14ac:dyDescent="0.35">
      <c r="G330" s="10"/>
      <c r="J330" s="8"/>
      <c r="K330" s="2" t="str">
        <f t="shared" si="21"/>
        <v/>
      </c>
      <c r="L330" s="3" t="str">
        <f t="shared" si="22"/>
        <v/>
      </c>
      <c r="M330" s="2" t="str">
        <f t="shared" si="23"/>
        <v/>
      </c>
      <c r="N330" t="str">
        <f t="shared" si="24"/>
        <v/>
      </c>
    </row>
    <row r="331" spans="7:14" ht="15.6" thickBot="1" x14ac:dyDescent="0.35">
      <c r="G331" s="10"/>
      <c r="J331" s="8"/>
      <c r="K331" s="2" t="str">
        <f t="shared" si="21"/>
        <v/>
      </c>
      <c r="L331" s="3" t="str">
        <f t="shared" si="22"/>
        <v/>
      </c>
      <c r="M331" s="2" t="str">
        <f t="shared" si="23"/>
        <v/>
      </c>
      <c r="N331" t="str">
        <f t="shared" si="24"/>
        <v/>
      </c>
    </row>
    <row r="332" spans="7:14" ht="15.6" thickBot="1" x14ac:dyDescent="0.35">
      <c r="G332" s="10"/>
      <c r="J332" s="8"/>
      <c r="K332" s="2" t="str">
        <f t="shared" si="21"/>
        <v/>
      </c>
      <c r="L332" s="3" t="str">
        <f t="shared" si="22"/>
        <v/>
      </c>
      <c r="M332" s="2" t="str">
        <f t="shared" si="23"/>
        <v/>
      </c>
      <c r="N332" t="str">
        <f t="shared" si="24"/>
        <v/>
      </c>
    </row>
    <row r="333" spans="7:14" ht="15.6" thickBot="1" x14ac:dyDescent="0.35">
      <c r="G333" s="10"/>
      <c r="J333" s="8"/>
      <c r="K333" s="2" t="str">
        <f t="shared" si="21"/>
        <v/>
      </c>
      <c r="L333" s="3" t="str">
        <f t="shared" si="22"/>
        <v/>
      </c>
      <c r="M333" s="2" t="str">
        <f t="shared" si="23"/>
        <v/>
      </c>
      <c r="N333" t="str">
        <f t="shared" si="24"/>
        <v/>
      </c>
    </row>
    <row r="334" spans="7:14" ht="15.6" thickBot="1" x14ac:dyDescent="0.35">
      <c r="G334" s="10"/>
      <c r="J334" s="8"/>
      <c r="K334" s="2" t="str">
        <f t="shared" si="21"/>
        <v/>
      </c>
      <c r="L334" s="3" t="str">
        <f t="shared" si="22"/>
        <v/>
      </c>
      <c r="M334" s="2" t="str">
        <f t="shared" si="23"/>
        <v/>
      </c>
      <c r="N334" t="str">
        <f t="shared" si="24"/>
        <v/>
      </c>
    </row>
    <row r="335" spans="7:14" ht="15.6" thickBot="1" x14ac:dyDescent="0.35">
      <c r="G335" s="10"/>
      <c r="J335" s="8"/>
      <c r="K335" s="2" t="str">
        <f t="shared" si="21"/>
        <v/>
      </c>
      <c r="L335" s="3" t="str">
        <f t="shared" si="22"/>
        <v/>
      </c>
      <c r="M335" s="2" t="str">
        <f t="shared" si="23"/>
        <v/>
      </c>
      <c r="N335" t="str">
        <f t="shared" si="24"/>
        <v/>
      </c>
    </row>
    <row r="336" spans="7:14" ht="15.6" thickBot="1" x14ac:dyDescent="0.35">
      <c r="G336" s="10"/>
      <c r="J336" s="8"/>
      <c r="K336" s="2" t="str">
        <f t="shared" si="21"/>
        <v/>
      </c>
      <c r="L336" s="3" t="str">
        <f t="shared" si="22"/>
        <v/>
      </c>
      <c r="M336" s="2" t="str">
        <f t="shared" si="23"/>
        <v/>
      </c>
      <c r="N336" t="str">
        <f t="shared" si="24"/>
        <v/>
      </c>
    </row>
    <row r="337" spans="7:14" ht="15.6" thickBot="1" x14ac:dyDescent="0.35">
      <c r="G337" s="10"/>
      <c r="J337" s="8"/>
      <c r="K337" s="2" t="str">
        <f t="shared" si="21"/>
        <v/>
      </c>
      <c r="L337" s="3" t="str">
        <f t="shared" si="22"/>
        <v/>
      </c>
      <c r="M337" s="2" t="str">
        <f t="shared" si="23"/>
        <v/>
      </c>
      <c r="N337" t="str">
        <f t="shared" si="24"/>
        <v/>
      </c>
    </row>
    <row r="338" spans="7:14" ht="15.6" thickBot="1" x14ac:dyDescent="0.35">
      <c r="G338" s="10"/>
      <c r="J338" s="8"/>
      <c r="K338" s="2" t="str">
        <f t="shared" si="21"/>
        <v/>
      </c>
      <c r="L338" s="3" t="str">
        <f t="shared" si="22"/>
        <v/>
      </c>
      <c r="M338" s="2" t="str">
        <f t="shared" si="23"/>
        <v/>
      </c>
      <c r="N338" t="str">
        <f t="shared" si="24"/>
        <v/>
      </c>
    </row>
    <row r="339" spans="7:14" ht="15.6" thickBot="1" x14ac:dyDescent="0.35">
      <c r="G339" s="10"/>
      <c r="J339" s="8"/>
      <c r="K339" s="2" t="str">
        <f t="shared" si="21"/>
        <v/>
      </c>
      <c r="L339" s="3" t="str">
        <f t="shared" si="22"/>
        <v/>
      </c>
      <c r="M339" s="2" t="str">
        <f t="shared" si="23"/>
        <v/>
      </c>
      <c r="N339" t="str">
        <f t="shared" si="24"/>
        <v/>
      </c>
    </row>
    <row r="340" spans="7:14" ht="15.6" thickBot="1" x14ac:dyDescent="0.35">
      <c r="G340" s="10"/>
      <c r="J340" s="8"/>
      <c r="K340" s="2" t="str">
        <f t="shared" si="21"/>
        <v/>
      </c>
      <c r="L340" s="3" t="str">
        <f t="shared" si="22"/>
        <v/>
      </c>
      <c r="M340" s="2" t="str">
        <f t="shared" si="23"/>
        <v/>
      </c>
      <c r="N340" t="str">
        <f t="shared" si="24"/>
        <v/>
      </c>
    </row>
    <row r="341" spans="7:14" ht="15.6" thickBot="1" x14ac:dyDescent="0.35">
      <c r="G341" s="10"/>
      <c r="J341" s="8"/>
      <c r="K341" s="2" t="str">
        <f t="shared" si="21"/>
        <v/>
      </c>
      <c r="L341" s="3" t="str">
        <f t="shared" si="22"/>
        <v/>
      </c>
      <c r="M341" s="2" t="str">
        <f t="shared" si="23"/>
        <v/>
      </c>
      <c r="N341" t="str">
        <f t="shared" si="24"/>
        <v/>
      </c>
    </row>
    <row r="342" spans="7:14" ht="15.6" thickBot="1" x14ac:dyDescent="0.35">
      <c r="G342" s="10"/>
      <c r="J342" s="8"/>
      <c r="K342" s="2" t="str">
        <f t="shared" si="21"/>
        <v/>
      </c>
      <c r="L342" s="3" t="str">
        <f t="shared" si="22"/>
        <v/>
      </c>
      <c r="M342" s="2" t="str">
        <f t="shared" si="23"/>
        <v/>
      </c>
      <c r="N342" t="str">
        <f t="shared" si="24"/>
        <v/>
      </c>
    </row>
    <row r="343" spans="7:14" ht="15.6" thickBot="1" x14ac:dyDescent="0.35">
      <c r="G343" s="10"/>
      <c r="J343" s="8"/>
      <c r="K343" s="2" t="str">
        <f t="shared" si="21"/>
        <v/>
      </c>
      <c r="L343" s="3" t="str">
        <f t="shared" si="22"/>
        <v/>
      </c>
      <c r="M343" s="2" t="str">
        <f t="shared" si="23"/>
        <v/>
      </c>
      <c r="N343" t="str">
        <f t="shared" si="24"/>
        <v/>
      </c>
    </row>
    <row r="344" spans="7:14" ht="15.6" thickBot="1" x14ac:dyDescent="0.35">
      <c r="G344" s="10"/>
      <c r="J344" s="8"/>
      <c r="K344" s="2" t="str">
        <f t="shared" si="21"/>
        <v/>
      </c>
      <c r="L344" s="3" t="str">
        <f t="shared" si="22"/>
        <v/>
      </c>
      <c r="M344" s="2" t="str">
        <f t="shared" si="23"/>
        <v/>
      </c>
      <c r="N344" t="str">
        <f t="shared" si="24"/>
        <v/>
      </c>
    </row>
    <row r="345" spans="7:14" ht="15.6" thickBot="1" x14ac:dyDescent="0.35">
      <c r="G345" s="10"/>
      <c r="J345" s="8"/>
      <c r="K345" s="2" t="str">
        <f t="shared" si="21"/>
        <v/>
      </c>
      <c r="L345" s="3" t="str">
        <f t="shared" si="22"/>
        <v/>
      </c>
      <c r="M345" s="2" t="str">
        <f t="shared" si="23"/>
        <v/>
      </c>
      <c r="N345" t="str">
        <f t="shared" si="24"/>
        <v/>
      </c>
    </row>
    <row r="346" spans="7:14" ht="15.6" thickBot="1" x14ac:dyDescent="0.35">
      <c r="G346" s="10"/>
      <c r="J346" s="8"/>
      <c r="K346" s="2" t="str">
        <f t="shared" si="21"/>
        <v/>
      </c>
      <c r="L346" s="3" t="str">
        <f t="shared" si="22"/>
        <v/>
      </c>
      <c r="M346" s="2" t="str">
        <f t="shared" si="23"/>
        <v/>
      </c>
      <c r="N346" t="str">
        <f t="shared" si="24"/>
        <v/>
      </c>
    </row>
    <row r="347" spans="7:14" ht="15.6" thickBot="1" x14ac:dyDescent="0.35">
      <c r="G347" s="10"/>
      <c r="J347" s="8"/>
      <c r="K347" s="2" t="str">
        <f t="shared" si="21"/>
        <v/>
      </c>
      <c r="L347" s="3" t="str">
        <f t="shared" si="22"/>
        <v/>
      </c>
      <c r="M347" s="2" t="str">
        <f t="shared" si="23"/>
        <v/>
      </c>
      <c r="N347" t="str">
        <f t="shared" si="24"/>
        <v/>
      </c>
    </row>
    <row r="348" spans="7:14" ht="15.6" thickBot="1" x14ac:dyDescent="0.35">
      <c r="G348" s="10"/>
      <c r="J348" s="8"/>
      <c r="K348" s="2" t="str">
        <f t="shared" si="21"/>
        <v/>
      </c>
      <c r="L348" s="3" t="str">
        <f t="shared" si="22"/>
        <v/>
      </c>
      <c r="M348" s="2" t="str">
        <f t="shared" si="23"/>
        <v/>
      </c>
      <c r="N348" t="str">
        <f t="shared" si="24"/>
        <v/>
      </c>
    </row>
    <row r="349" spans="7:14" ht="15.6" thickBot="1" x14ac:dyDescent="0.35">
      <c r="G349" s="10"/>
      <c r="J349" s="8"/>
      <c r="K349" s="2" t="str">
        <f t="shared" si="21"/>
        <v/>
      </c>
      <c r="L349" s="3" t="str">
        <f t="shared" si="22"/>
        <v/>
      </c>
      <c r="M349" s="2" t="str">
        <f t="shared" si="23"/>
        <v/>
      </c>
      <c r="N349" t="str">
        <f t="shared" si="24"/>
        <v/>
      </c>
    </row>
    <row r="350" spans="7:14" ht="15.6" thickBot="1" x14ac:dyDescent="0.35">
      <c r="G350" s="10"/>
      <c r="J350" s="8"/>
      <c r="K350" s="2" t="str">
        <f t="shared" si="21"/>
        <v/>
      </c>
      <c r="L350" s="3" t="str">
        <f t="shared" si="22"/>
        <v/>
      </c>
      <c r="M350" s="2" t="str">
        <f t="shared" si="23"/>
        <v/>
      </c>
      <c r="N350" t="str">
        <f t="shared" si="24"/>
        <v/>
      </c>
    </row>
    <row r="351" spans="7:14" ht="15.6" thickBot="1" x14ac:dyDescent="0.35">
      <c r="G351" s="10"/>
      <c r="J351" s="8"/>
      <c r="K351" s="2" t="str">
        <f t="shared" si="21"/>
        <v/>
      </c>
      <c r="L351" s="3" t="str">
        <f t="shared" si="22"/>
        <v/>
      </c>
      <c r="M351" s="2" t="str">
        <f t="shared" si="23"/>
        <v/>
      </c>
      <c r="N351" t="str">
        <f t="shared" si="24"/>
        <v/>
      </c>
    </row>
    <row r="352" spans="7:14" ht="15.6" thickBot="1" x14ac:dyDescent="0.35">
      <c r="G352" s="10"/>
      <c r="J352" s="8"/>
      <c r="K352" s="2" t="str">
        <f t="shared" si="21"/>
        <v/>
      </c>
      <c r="L352" s="3" t="str">
        <f t="shared" si="22"/>
        <v/>
      </c>
      <c r="M352" s="2" t="str">
        <f t="shared" si="23"/>
        <v/>
      </c>
      <c r="N352" t="str">
        <f t="shared" si="24"/>
        <v/>
      </c>
    </row>
    <row r="353" spans="7:14" ht="15.6" thickBot="1" x14ac:dyDescent="0.35">
      <c r="G353" s="10"/>
      <c r="J353" s="8"/>
      <c r="K353" s="2" t="str">
        <f t="shared" si="21"/>
        <v/>
      </c>
      <c r="L353" s="3" t="str">
        <f t="shared" si="22"/>
        <v/>
      </c>
      <c r="M353" s="2" t="str">
        <f t="shared" si="23"/>
        <v/>
      </c>
      <c r="N353" t="str">
        <f t="shared" si="24"/>
        <v/>
      </c>
    </row>
    <row r="354" spans="7:14" ht="15.6" thickBot="1" x14ac:dyDescent="0.35">
      <c r="G354" s="10"/>
      <c r="J354" s="8"/>
      <c r="K354" s="2" t="str">
        <f t="shared" si="21"/>
        <v/>
      </c>
      <c r="L354" s="3" t="str">
        <f t="shared" si="22"/>
        <v/>
      </c>
      <c r="M354" s="2" t="str">
        <f t="shared" si="23"/>
        <v/>
      </c>
      <c r="N354" t="str">
        <f t="shared" si="24"/>
        <v/>
      </c>
    </row>
    <row r="355" spans="7:14" ht="15.6" thickBot="1" x14ac:dyDescent="0.35">
      <c r="G355" s="10"/>
      <c r="J355" s="8"/>
      <c r="K355" s="2" t="str">
        <f t="shared" si="21"/>
        <v/>
      </c>
      <c r="L355" s="3" t="str">
        <f t="shared" si="22"/>
        <v/>
      </c>
      <c r="M355" s="2" t="str">
        <f t="shared" si="23"/>
        <v/>
      </c>
      <c r="N355" t="str">
        <f t="shared" si="24"/>
        <v/>
      </c>
    </row>
    <row r="356" spans="7:14" ht="15.6" thickBot="1" x14ac:dyDescent="0.35">
      <c r="G356" s="10"/>
      <c r="J356" s="8"/>
      <c r="K356" s="2" t="str">
        <f t="shared" si="21"/>
        <v/>
      </c>
      <c r="L356" s="3" t="str">
        <f t="shared" si="22"/>
        <v/>
      </c>
      <c r="M356" s="2" t="str">
        <f t="shared" si="23"/>
        <v/>
      </c>
      <c r="N356" t="str">
        <f t="shared" si="24"/>
        <v/>
      </c>
    </row>
    <row r="357" spans="7:14" ht="15.6" thickBot="1" x14ac:dyDescent="0.35">
      <c r="G357" s="10"/>
      <c r="J357" s="8"/>
      <c r="K357" s="2" t="str">
        <f t="shared" si="21"/>
        <v/>
      </c>
      <c r="L357" s="3" t="str">
        <f t="shared" si="22"/>
        <v/>
      </c>
      <c r="M357" s="2" t="str">
        <f t="shared" si="23"/>
        <v/>
      </c>
      <c r="N357" t="str">
        <f t="shared" si="24"/>
        <v/>
      </c>
    </row>
    <row r="358" spans="7:14" ht="15.6" thickBot="1" x14ac:dyDescent="0.35">
      <c r="G358" s="10"/>
      <c r="J358" s="8"/>
      <c r="K358" s="2" t="str">
        <f t="shared" si="21"/>
        <v/>
      </c>
      <c r="L358" s="3" t="str">
        <f t="shared" si="22"/>
        <v/>
      </c>
      <c r="M358" s="2" t="str">
        <f t="shared" si="23"/>
        <v/>
      </c>
      <c r="N358" t="str">
        <f t="shared" si="24"/>
        <v/>
      </c>
    </row>
    <row r="359" spans="7:14" ht="15.6" thickBot="1" x14ac:dyDescent="0.35">
      <c r="G359" s="10"/>
      <c r="J359" s="8"/>
      <c r="K359" s="2" t="str">
        <f t="shared" si="21"/>
        <v/>
      </c>
      <c r="L359" s="3" t="str">
        <f t="shared" si="22"/>
        <v/>
      </c>
      <c r="M359" s="2" t="str">
        <f t="shared" si="23"/>
        <v/>
      </c>
      <c r="N359" t="str">
        <f t="shared" si="24"/>
        <v/>
      </c>
    </row>
    <row r="360" spans="7:14" ht="15.6" thickBot="1" x14ac:dyDescent="0.35">
      <c r="G360" s="10"/>
      <c r="J360" s="8"/>
      <c r="K360" s="2" t="str">
        <f t="shared" si="21"/>
        <v/>
      </c>
      <c r="L360" s="3" t="str">
        <f t="shared" si="22"/>
        <v/>
      </c>
      <c r="M360" s="2" t="str">
        <f t="shared" si="23"/>
        <v/>
      </c>
      <c r="N360" t="str">
        <f t="shared" si="24"/>
        <v/>
      </c>
    </row>
    <row r="361" spans="7:14" ht="15.6" thickBot="1" x14ac:dyDescent="0.35">
      <c r="G361" s="10"/>
      <c r="J361" s="8"/>
      <c r="K361" s="2" t="str">
        <f t="shared" si="21"/>
        <v/>
      </c>
      <c r="L361" s="3" t="str">
        <f t="shared" si="22"/>
        <v/>
      </c>
      <c r="M361" s="2" t="str">
        <f t="shared" si="23"/>
        <v/>
      </c>
      <c r="N361" t="str">
        <f t="shared" si="24"/>
        <v/>
      </c>
    </row>
    <row r="362" spans="7:14" ht="15.6" thickBot="1" x14ac:dyDescent="0.35">
      <c r="G362" s="10"/>
      <c r="J362" s="8"/>
      <c r="K362" s="2" t="str">
        <f t="shared" si="21"/>
        <v/>
      </c>
      <c r="L362" s="3" t="str">
        <f t="shared" si="22"/>
        <v/>
      </c>
      <c r="M362" s="2" t="str">
        <f t="shared" si="23"/>
        <v/>
      </c>
      <c r="N362" t="str">
        <f t="shared" si="24"/>
        <v/>
      </c>
    </row>
    <row r="363" spans="7:14" ht="15.6" thickBot="1" x14ac:dyDescent="0.35">
      <c r="G363" s="10"/>
      <c r="J363" s="8"/>
      <c r="K363" s="2" t="str">
        <f t="shared" si="21"/>
        <v/>
      </c>
      <c r="L363" s="3" t="str">
        <f t="shared" si="22"/>
        <v/>
      </c>
      <c r="M363" s="2" t="str">
        <f t="shared" si="23"/>
        <v/>
      </c>
      <c r="N363" t="str">
        <f t="shared" si="24"/>
        <v/>
      </c>
    </row>
    <row r="364" spans="7:14" ht="15.6" thickBot="1" x14ac:dyDescent="0.35">
      <c r="G364" s="10"/>
      <c r="J364" s="8"/>
      <c r="K364" s="2" t="str">
        <f t="shared" si="21"/>
        <v/>
      </c>
      <c r="L364" s="3" t="str">
        <f t="shared" si="22"/>
        <v/>
      </c>
      <c r="M364" s="2" t="str">
        <f t="shared" si="23"/>
        <v/>
      </c>
      <c r="N364" t="str">
        <f t="shared" si="24"/>
        <v/>
      </c>
    </row>
    <row r="365" spans="7:14" ht="15.6" thickBot="1" x14ac:dyDescent="0.35">
      <c r="G365" s="10"/>
      <c r="J365" s="8"/>
      <c r="K365" s="2" t="str">
        <f t="shared" si="21"/>
        <v/>
      </c>
      <c r="L365" s="3" t="str">
        <f t="shared" si="22"/>
        <v/>
      </c>
      <c r="M365" s="2" t="str">
        <f t="shared" si="23"/>
        <v/>
      </c>
      <c r="N365" t="str">
        <f t="shared" si="24"/>
        <v/>
      </c>
    </row>
    <row r="366" spans="7:14" ht="15.6" thickBot="1" x14ac:dyDescent="0.35">
      <c r="G366" s="10"/>
      <c r="J366" s="8"/>
      <c r="K366" s="2" t="str">
        <f t="shared" si="21"/>
        <v/>
      </c>
      <c r="L366" s="3" t="str">
        <f t="shared" si="22"/>
        <v/>
      </c>
      <c r="M366" s="2" t="str">
        <f t="shared" si="23"/>
        <v/>
      </c>
      <c r="N366" t="str">
        <f t="shared" si="24"/>
        <v/>
      </c>
    </row>
    <row r="367" spans="7:14" ht="15.6" thickBot="1" x14ac:dyDescent="0.35">
      <c r="G367" s="10"/>
      <c r="J367" s="8"/>
      <c r="K367" s="2" t="str">
        <f t="shared" si="21"/>
        <v/>
      </c>
      <c r="L367" s="3" t="str">
        <f t="shared" si="22"/>
        <v/>
      </c>
      <c r="M367" s="2" t="str">
        <f t="shared" si="23"/>
        <v/>
      </c>
      <c r="N367" t="str">
        <f t="shared" si="24"/>
        <v/>
      </c>
    </row>
    <row r="368" spans="7:14" ht="15.6" thickBot="1" x14ac:dyDescent="0.35">
      <c r="G368" s="10"/>
      <c r="J368" s="8"/>
      <c r="K368" s="2" t="str">
        <f t="shared" si="21"/>
        <v/>
      </c>
      <c r="L368" s="3" t="str">
        <f t="shared" si="22"/>
        <v/>
      </c>
      <c r="M368" s="2" t="str">
        <f t="shared" si="23"/>
        <v/>
      </c>
      <c r="N368" t="str">
        <f t="shared" si="24"/>
        <v/>
      </c>
    </row>
    <row r="369" spans="7:14" ht="15.6" thickBot="1" x14ac:dyDescent="0.35">
      <c r="G369" s="10"/>
      <c r="J369" s="8"/>
      <c r="K369" s="2" t="str">
        <f t="shared" si="21"/>
        <v/>
      </c>
      <c r="L369" s="3" t="str">
        <f t="shared" si="22"/>
        <v/>
      </c>
      <c r="M369" s="2" t="str">
        <f t="shared" si="23"/>
        <v/>
      </c>
      <c r="N369" t="str">
        <f t="shared" si="24"/>
        <v/>
      </c>
    </row>
    <row r="370" spans="7:14" ht="15.6" thickBot="1" x14ac:dyDescent="0.35">
      <c r="G370" s="10"/>
      <c r="J370" s="8"/>
      <c r="K370" s="2" t="str">
        <f t="shared" si="21"/>
        <v/>
      </c>
      <c r="L370" s="3" t="str">
        <f t="shared" si="22"/>
        <v/>
      </c>
      <c r="M370" s="2" t="str">
        <f t="shared" si="23"/>
        <v/>
      </c>
      <c r="N370" t="str">
        <f t="shared" si="24"/>
        <v/>
      </c>
    </row>
    <row r="371" spans="7:14" ht="15.6" thickBot="1" x14ac:dyDescent="0.35">
      <c r="G371" s="10"/>
      <c r="J371" s="8"/>
      <c r="K371" s="2" t="str">
        <f t="shared" si="21"/>
        <v/>
      </c>
      <c r="L371" s="3" t="str">
        <f t="shared" si="22"/>
        <v/>
      </c>
      <c r="M371" s="2" t="str">
        <f t="shared" si="23"/>
        <v/>
      </c>
      <c r="N371" t="str">
        <f t="shared" si="24"/>
        <v/>
      </c>
    </row>
    <row r="372" spans="7:14" ht="15.6" thickBot="1" x14ac:dyDescent="0.35">
      <c r="G372" s="10"/>
      <c r="J372" s="8"/>
      <c r="K372" s="2" t="str">
        <f t="shared" si="21"/>
        <v/>
      </c>
      <c r="L372" s="3" t="str">
        <f t="shared" si="22"/>
        <v/>
      </c>
      <c r="M372" s="2" t="str">
        <f t="shared" si="23"/>
        <v/>
      </c>
      <c r="N372" t="str">
        <f t="shared" si="24"/>
        <v/>
      </c>
    </row>
    <row r="373" spans="7:14" ht="15.6" thickBot="1" x14ac:dyDescent="0.35">
      <c r="G373" s="10"/>
      <c r="J373" s="8"/>
      <c r="K373" s="2" t="str">
        <f t="shared" si="21"/>
        <v/>
      </c>
      <c r="L373" s="3" t="str">
        <f t="shared" si="22"/>
        <v/>
      </c>
      <c r="M373" s="2" t="str">
        <f t="shared" si="23"/>
        <v/>
      </c>
      <c r="N373" t="str">
        <f t="shared" si="24"/>
        <v/>
      </c>
    </row>
    <row r="374" spans="7:14" ht="15.6" thickBot="1" x14ac:dyDescent="0.35">
      <c r="G374" s="10"/>
      <c r="J374" s="8"/>
      <c r="K374" s="2" t="str">
        <f t="shared" si="21"/>
        <v/>
      </c>
      <c r="L374" s="3" t="str">
        <f t="shared" si="22"/>
        <v/>
      </c>
      <c r="M374" s="2" t="str">
        <f t="shared" si="23"/>
        <v/>
      </c>
      <c r="N374" t="str">
        <f t="shared" si="24"/>
        <v/>
      </c>
    </row>
    <row r="375" spans="7:14" ht="15.6" thickBot="1" x14ac:dyDescent="0.35">
      <c r="G375" s="10"/>
      <c r="J375" s="8"/>
      <c r="K375" s="2" t="str">
        <f t="shared" si="21"/>
        <v/>
      </c>
      <c r="L375" s="3" t="str">
        <f t="shared" si="22"/>
        <v/>
      </c>
      <c r="M375" s="2" t="str">
        <f t="shared" si="23"/>
        <v/>
      </c>
      <c r="N375" t="str">
        <f t="shared" si="24"/>
        <v/>
      </c>
    </row>
    <row r="376" spans="7:14" ht="15.6" thickBot="1" x14ac:dyDescent="0.35">
      <c r="G376" s="10"/>
      <c r="J376" s="8"/>
      <c r="K376" s="2" t="str">
        <f t="shared" si="21"/>
        <v/>
      </c>
      <c r="L376" s="3" t="str">
        <f t="shared" si="22"/>
        <v/>
      </c>
      <c r="M376" s="2" t="str">
        <f t="shared" si="23"/>
        <v/>
      </c>
      <c r="N376" t="str">
        <f t="shared" si="24"/>
        <v/>
      </c>
    </row>
    <row r="377" spans="7:14" ht="15.6" thickBot="1" x14ac:dyDescent="0.35">
      <c r="G377" s="10"/>
      <c r="J377" s="8"/>
      <c r="K377" s="2" t="str">
        <f t="shared" si="21"/>
        <v/>
      </c>
      <c r="L377" s="3" t="str">
        <f t="shared" si="22"/>
        <v/>
      </c>
      <c r="M377" s="2" t="str">
        <f t="shared" si="23"/>
        <v/>
      </c>
      <c r="N377" t="str">
        <f t="shared" si="24"/>
        <v/>
      </c>
    </row>
    <row r="378" spans="7:14" ht="15.6" thickBot="1" x14ac:dyDescent="0.35">
      <c r="G378" s="10"/>
      <c r="J378" s="8"/>
      <c r="K378" s="2" t="str">
        <f t="shared" si="21"/>
        <v/>
      </c>
      <c r="L378" s="3" t="str">
        <f t="shared" si="22"/>
        <v/>
      </c>
      <c r="M378" s="2" t="str">
        <f t="shared" si="23"/>
        <v/>
      </c>
      <c r="N378" t="str">
        <f t="shared" si="24"/>
        <v/>
      </c>
    </row>
    <row r="379" spans="7:14" ht="15.6" thickBot="1" x14ac:dyDescent="0.35">
      <c r="G379" s="10"/>
      <c r="J379" s="8"/>
      <c r="K379" s="2" t="str">
        <f t="shared" si="21"/>
        <v/>
      </c>
      <c r="L379" s="3" t="str">
        <f t="shared" si="22"/>
        <v/>
      </c>
      <c r="M379" s="2" t="str">
        <f t="shared" si="23"/>
        <v/>
      </c>
      <c r="N379" t="str">
        <f t="shared" si="24"/>
        <v/>
      </c>
    </row>
    <row r="380" spans="7:14" ht="15.6" thickBot="1" x14ac:dyDescent="0.35">
      <c r="G380" s="10"/>
      <c r="J380" s="8"/>
      <c r="K380" s="2" t="str">
        <f t="shared" si="21"/>
        <v/>
      </c>
      <c r="L380" s="3" t="str">
        <f t="shared" si="22"/>
        <v/>
      </c>
      <c r="M380" s="2" t="str">
        <f t="shared" si="23"/>
        <v/>
      </c>
      <c r="N380" t="str">
        <f t="shared" si="24"/>
        <v/>
      </c>
    </row>
    <row r="381" spans="7:14" ht="15.6" thickBot="1" x14ac:dyDescent="0.35">
      <c r="G381" s="10"/>
      <c r="J381" s="8"/>
      <c r="K381" s="2" t="str">
        <f t="shared" si="21"/>
        <v/>
      </c>
      <c r="L381" s="3" t="str">
        <f t="shared" si="22"/>
        <v/>
      </c>
      <c r="M381" s="2" t="str">
        <f t="shared" si="23"/>
        <v/>
      </c>
      <c r="N381" t="str">
        <f t="shared" si="24"/>
        <v/>
      </c>
    </row>
    <row r="382" spans="7:14" ht="15.6" thickBot="1" x14ac:dyDescent="0.35">
      <c r="G382" s="10"/>
      <c r="J382" s="8"/>
      <c r="K382" s="2" t="str">
        <f t="shared" si="21"/>
        <v/>
      </c>
      <c r="L382" s="3" t="str">
        <f t="shared" si="22"/>
        <v/>
      </c>
      <c r="M382" s="2" t="str">
        <f t="shared" si="23"/>
        <v/>
      </c>
      <c r="N382" t="str">
        <f t="shared" si="24"/>
        <v/>
      </c>
    </row>
    <row r="383" spans="7:14" ht="15.6" thickBot="1" x14ac:dyDescent="0.35">
      <c r="G383" s="10"/>
      <c r="J383" s="8"/>
      <c r="K383" s="2" t="str">
        <f t="shared" si="21"/>
        <v/>
      </c>
      <c r="L383" s="3" t="str">
        <f t="shared" si="22"/>
        <v/>
      </c>
      <c r="M383" s="2" t="str">
        <f t="shared" si="23"/>
        <v/>
      </c>
      <c r="N383" t="str">
        <f t="shared" si="24"/>
        <v/>
      </c>
    </row>
    <row r="384" spans="7:14" ht="15.6" thickBot="1" x14ac:dyDescent="0.35">
      <c r="G384" s="10"/>
      <c r="J384" s="8"/>
      <c r="K384" s="2" t="str">
        <f t="shared" si="21"/>
        <v/>
      </c>
      <c r="L384" s="3" t="str">
        <f t="shared" si="22"/>
        <v/>
      </c>
      <c r="M384" s="2" t="str">
        <f t="shared" si="23"/>
        <v/>
      </c>
      <c r="N384" t="str">
        <f t="shared" si="24"/>
        <v/>
      </c>
    </row>
    <row r="385" spans="7:14" ht="15.6" thickBot="1" x14ac:dyDescent="0.35">
      <c r="G385" s="10"/>
      <c r="J385" s="8"/>
      <c r="K385" s="2" t="str">
        <f t="shared" si="21"/>
        <v/>
      </c>
      <c r="L385" s="3" t="str">
        <f t="shared" si="22"/>
        <v/>
      </c>
      <c r="M385" s="2" t="str">
        <f t="shared" si="23"/>
        <v/>
      </c>
      <c r="N385" t="str">
        <f t="shared" si="24"/>
        <v/>
      </c>
    </row>
    <row r="386" spans="7:14" ht="15.6" thickBot="1" x14ac:dyDescent="0.35">
      <c r="G386" s="10"/>
      <c r="J386" s="8"/>
      <c r="K386" s="2" t="str">
        <f t="shared" si="21"/>
        <v/>
      </c>
      <c r="L386" s="3" t="str">
        <f t="shared" si="22"/>
        <v/>
      </c>
      <c r="M386" s="2" t="str">
        <f t="shared" si="23"/>
        <v/>
      </c>
      <c r="N386" t="str">
        <f t="shared" si="24"/>
        <v/>
      </c>
    </row>
    <row r="387" spans="7:14" ht="15.6" thickBot="1" x14ac:dyDescent="0.35">
      <c r="G387" s="10"/>
      <c r="J387" s="8"/>
      <c r="K387" s="2" t="str">
        <f t="shared" si="21"/>
        <v/>
      </c>
      <c r="L387" s="3" t="str">
        <f t="shared" si="22"/>
        <v/>
      </c>
      <c r="M387" s="2" t="str">
        <f t="shared" si="23"/>
        <v/>
      </c>
      <c r="N387" t="str">
        <f t="shared" si="24"/>
        <v/>
      </c>
    </row>
    <row r="388" spans="7:14" ht="15.6" thickBot="1" x14ac:dyDescent="0.35">
      <c r="G388" s="10"/>
      <c r="J388" s="8"/>
      <c r="K388" s="2" t="str">
        <f t="shared" si="21"/>
        <v/>
      </c>
      <c r="L388" s="3" t="str">
        <f t="shared" si="22"/>
        <v/>
      </c>
      <c r="M388" s="2" t="str">
        <f t="shared" si="23"/>
        <v/>
      </c>
      <c r="N388" t="str">
        <f t="shared" si="24"/>
        <v/>
      </c>
    </row>
    <row r="389" spans="7:14" ht="15.6" thickBot="1" x14ac:dyDescent="0.35">
      <c r="G389" s="10"/>
      <c r="J389" s="8"/>
      <c r="K389" s="2" t="str">
        <f t="shared" ref="K389:K452" si="25">SUBSTITUTE(I389,CHAR(10),"&lt;br&gt;")</f>
        <v/>
      </c>
      <c r="L389" s="3" t="str">
        <f t="shared" ref="L389:L452" si="26">IF(B389="","","{"&amp;$M$1&amp;"no"&amp;$M$1&amp;":"&amp;$M$1&amp;""&amp;B389&amp;""&amp;$M$1&amp;","&amp;$M$1&amp;"name"&amp;$M$1&amp;":"&amp;$M$1&amp;""&amp;C389&amp;""&amp;$M$1&amp;","&amp;$M$1&amp;"category"&amp;$M$1&amp;":"&amp;$M$1&amp;""&amp;D389&amp;""&amp;$M$1&amp;","&amp;$M$1&amp;"price"&amp;$M$1&amp;":"&amp;E389&amp;","&amp;$M$1&amp;"quantity"&amp;$M$1&amp;":"&amp;F389&amp;","&amp;$M$1&amp;"discount"&amp;$M$1&amp;":"&amp;G389*100&amp;","&amp;$M$1&amp;"images"&amp;$M$1&amp;":"&amp;$M$1&amp;""&amp;H389&amp;""&amp;$M$1&amp;","&amp;$M$1&amp;"description"&amp;$M$1&amp;":"&amp;$M$1&amp;""&amp;K389&amp;""&amp;$M$1&amp;"}")</f>
        <v/>
      </c>
      <c r="M389" s="2" t="str">
        <f t="shared" ref="M389:M452" si="27">IF(L390="","",",")</f>
        <v/>
      </c>
      <c r="N389" t="str">
        <f t="shared" si="24"/>
        <v/>
      </c>
    </row>
    <row r="390" spans="7:14" ht="15.6" thickBot="1" x14ac:dyDescent="0.35">
      <c r="G390" s="10"/>
      <c r="J390" s="8"/>
      <c r="K390" s="2" t="str">
        <f t="shared" si="25"/>
        <v/>
      </c>
      <c r="L390" s="3" t="str">
        <f t="shared" si="26"/>
        <v/>
      </c>
      <c r="M390" s="2" t="str">
        <f t="shared" si="27"/>
        <v/>
      </c>
      <c r="N390" t="str">
        <f t="shared" si="24"/>
        <v/>
      </c>
    </row>
    <row r="391" spans="7:14" ht="15.6" thickBot="1" x14ac:dyDescent="0.35">
      <c r="G391" s="10"/>
      <c r="J391" s="8"/>
      <c r="K391" s="2" t="str">
        <f t="shared" si="25"/>
        <v/>
      </c>
      <c r="L391" s="3" t="str">
        <f t="shared" si="26"/>
        <v/>
      </c>
      <c r="M391" s="2" t="str">
        <f t="shared" si="27"/>
        <v/>
      </c>
      <c r="N391" t="str">
        <f t="shared" si="24"/>
        <v/>
      </c>
    </row>
    <row r="392" spans="7:14" ht="15.6" thickBot="1" x14ac:dyDescent="0.35">
      <c r="G392" s="10"/>
      <c r="J392" s="8"/>
      <c r="K392" s="2" t="str">
        <f t="shared" si="25"/>
        <v/>
      </c>
      <c r="L392" s="3" t="str">
        <f t="shared" si="26"/>
        <v/>
      </c>
      <c r="M392" s="2" t="str">
        <f t="shared" si="27"/>
        <v/>
      </c>
      <c r="N392" t="str">
        <f t="shared" si="24"/>
        <v/>
      </c>
    </row>
    <row r="393" spans="7:14" ht="15.6" thickBot="1" x14ac:dyDescent="0.35">
      <c r="G393" s="10"/>
      <c r="J393" s="8"/>
      <c r="K393" s="2" t="str">
        <f t="shared" si="25"/>
        <v/>
      </c>
      <c r="L393" s="3" t="str">
        <f t="shared" si="26"/>
        <v/>
      </c>
      <c r="M393" s="2" t="str">
        <f t="shared" si="27"/>
        <v/>
      </c>
      <c r="N393" t="str">
        <f t="shared" ref="N393:N456" si="28">_xlfn.CONCAT(L393,M393)</f>
        <v/>
      </c>
    </row>
    <row r="394" spans="7:14" ht="15.6" thickBot="1" x14ac:dyDescent="0.35">
      <c r="G394" s="10"/>
      <c r="J394" s="8"/>
      <c r="K394" s="2" t="str">
        <f t="shared" si="25"/>
        <v/>
      </c>
      <c r="L394" s="3" t="str">
        <f t="shared" si="26"/>
        <v/>
      </c>
      <c r="M394" s="2" t="str">
        <f t="shared" si="27"/>
        <v/>
      </c>
      <c r="N394" t="str">
        <f t="shared" si="28"/>
        <v/>
      </c>
    </row>
    <row r="395" spans="7:14" ht="15.6" thickBot="1" x14ac:dyDescent="0.35">
      <c r="G395" s="10"/>
      <c r="J395" s="8"/>
      <c r="K395" s="2" t="str">
        <f t="shared" si="25"/>
        <v/>
      </c>
      <c r="L395" s="3" t="str">
        <f t="shared" si="26"/>
        <v/>
      </c>
      <c r="M395" s="2" t="str">
        <f t="shared" si="27"/>
        <v/>
      </c>
      <c r="N395" t="str">
        <f t="shared" si="28"/>
        <v/>
      </c>
    </row>
    <row r="396" spans="7:14" ht="15.6" thickBot="1" x14ac:dyDescent="0.35">
      <c r="G396" s="10"/>
      <c r="J396" s="8"/>
      <c r="K396" s="2" t="str">
        <f t="shared" si="25"/>
        <v/>
      </c>
      <c r="L396" s="3" t="str">
        <f t="shared" si="26"/>
        <v/>
      </c>
      <c r="M396" s="2" t="str">
        <f t="shared" si="27"/>
        <v/>
      </c>
      <c r="N396" t="str">
        <f t="shared" si="28"/>
        <v/>
      </c>
    </row>
    <row r="397" spans="7:14" ht="15.6" thickBot="1" x14ac:dyDescent="0.35">
      <c r="G397" s="10"/>
      <c r="J397" s="8"/>
      <c r="K397" s="2" t="str">
        <f t="shared" si="25"/>
        <v/>
      </c>
      <c r="L397" s="3" t="str">
        <f t="shared" si="26"/>
        <v/>
      </c>
      <c r="M397" s="2" t="str">
        <f t="shared" si="27"/>
        <v/>
      </c>
      <c r="N397" t="str">
        <f t="shared" si="28"/>
        <v/>
      </c>
    </row>
    <row r="398" spans="7:14" ht="15.6" thickBot="1" x14ac:dyDescent="0.35">
      <c r="G398" s="10"/>
      <c r="J398" s="8"/>
      <c r="K398" s="2" t="str">
        <f t="shared" si="25"/>
        <v/>
      </c>
      <c r="L398" s="3" t="str">
        <f t="shared" si="26"/>
        <v/>
      </c>
      <c r="M398" s="2" t="str">
        <f t="shared" si="27"/>
        <v/>
      </c>
      <c r="N398" t="str">
        <f t="shared" si="28"/>
        <v/>
      </c>
    </row>
    <row r="399" spans="7:14" ht="15.6" thickBot="1" x14ac:dyDescent="0.35">
      <c r="G399" s="10"/>
      <c r="J399" s="8"/>
      <c r="K399" s="2" t="str">
        <f t="shared" si="25"/>
        <v/>
      </c>
      <c r="L399" s="3" t="str">
        <f t="shared" si="26"/>
        <v/>
      </c>
      <c r="M399" s="2" t="str">
        <f t="shared" si="27"/>
        <v/>
      </c>
      <c r="N399" t="str">
        <f t="shared" si="28"/>
        <v/>
      </c>
    </row>
    <row r="400" spans="7:14" ht="15.6" thickBot="1" x14ac:dyDescent="0.35">
      <c r="G400" s="10"/>
      <c r="J400" s="8"/>
      <c r="K400" s="2" t="str">
        <f t="shared" si="25"/>
        <v/>
      </c>
      <c r="L400" s="3" t="str">
        <f t="shared" si="26"/>
        <v/>
      </c>
      <c r="M400" s="2" t="str">
        <f t="shared" si="27"/>
        <v/>
      </c>
      <c r="N400" t="str">
        <f t="shared" si="28"/>
        <v/>
      </c>
    </row>
    <row r="401" spans="7:14" ht="15.6" thickBot="1" x14ac:dyDescent="0.35">
      <c r="G401" s="10"/>
      <c r="J401" s="8"/>
      <c r="K401" s="2" t="str">
        <f t="shared" si="25"/>
        <v/>
      </c>
      <c r="L401" s="3" t="str">
        <f t="shared" si="26"/>
        <v/>
      </c>
      <c r="M401" s="2" t="str">
        <f t="shared" si="27"/>
        <v/>
      </c>
      <c r="N401" t="str">
        <f t="shared" si="28"/>
        <v/>
      </c>
    </row>
    <row r="402" spans="7:14" ht="15.6" thickBot="1" x14ac:dyDescent="0.35">
      <c r="G402" s="10"/>
      <c r="J402" s="8"/>
      <c r="K402" s="2" t="str">
        <f t="shared" si="25"/>
        <v/>
      </c>
      <c r="L402" s="3" t="str">
        <f t="shared" si="26"/>
        <v/>
      </c>
      <c r="M402" s="2" t="str">
        <f t="shared" si="27"/>
        <v/>
      </c>
      <c r="N402" t="str">
        <f t="shared" si="28"/>
        <v/>
      </c>
    </row>
    <row r="403" spans="7:14" ht="15.6" thickBot="1" x14ac:dyDescent="0.35">
      <c r="G403" s="10"/>
      <c r="J403" s="8"/>
      <c r="K403" s="2" t="str">
        <f t="shared" si="25"/>
        <v/>
      </c>
      <c r="L403" s="3" t="str">
        <f t="shared" si="26"/>
        <v/>
      </c>
      <c r="M403" s="2" t="str">
        <f t="shared" si="27"/>
        <v/>
      </c>
      <c r="N403" t="str">
        <f t="shared" si="28"/>
        <v/>
      </c>
    </row>
    <row r="404" spans="7:14" ht="15.6" thickBot="1" x14ac:dyDescent="0.35">
      <c r="G404" s="10"/>
      <c r="J404" s="8"/>
      <c r="K404" s="2" t="str">
        <f t="shared" si="25"/>
        <v/>
      </c>
      <c r="L404" s="3" t="str">
        <f t="shared" si="26"/>
        <v/>
      </c>
      <c r="M404" s="2" t="str">
        <f t="shared" si="27"/>
        <v/>
      </c>
      <c r="N404" t="str">
        <f t="shared" si="28"/>
        <v/>
      </c>
    </row>
    <row r="405" spans="7:14" ht="15.6" thickBot="1" x14ac:dyDescent="0.35">
      <c r="G405" s="10"/>
      <c r="J405" s="8"/>
      <c r="K405" s="2" t="str">
        <f t="shared" si="25"/>
        <v/>
      </c>
      <c r="L405" s="3" t="str">
        <f t="shared" si="26"/>
        <v/>
      </c>
      <c r="M405" s="2" t="str">
        <f t="shared" si="27"/>
        <v/>
      </c>
      <c r="N405" t="str">
        <f t="shared" si="28"/>
        <v/>
      </c>
    </row>
    <row r="406" spans="7:14" ht="15.6" thickBot="1" x14ac:dyDescent="0.35">
      <c r="G406" s="10"/>
      <c r="J406" s="8"/>
      <c r="K406" s="2" t="str">
        <f t="shared" si="25"/>
        <v/>
      </c>
      <c r="L406" s="3" t="str">
        <f t="shared" si="26"/>
        <v/>
      </c>
      <c r="M406" s="2" t="str">
        <f t="shared" si="27"/>
        <v/>
      </c>
      <c r="N406" t="str">
        <f t="shared" si="28"/>
        <v/>
      </c>
    </row>
    <row r="407" spans="7:14" ht="15.6" thickBot="1" x14ac:dyDescent="0.35">
      <c r="G407" s="10"/>
      <c r="J407" s="8"/>
      <c r="K407" s="2" t="str">
        <f t="shared" si="25"/>
        <v/>
      </c>
      <c r="L407" s="3" t="str">
        <f t="shared" si="26"/>
        <v/>
      </c>
      <c r="M407" s="2" t="str">
        <f t="shared" si="27"/>
        <v/>
      </c>
      <c r="N407" t="str">
        <f t="shared" si="28"/>
        <v/>
      </c>
    </row>
    <row r="408" spans="7:14" ht="15.6" thickBot="1" x14ac:dyDescent="0.35">
      <c r="G408" s="10"/>
      <c r="J408" s="8"/>
      <c r="K408" s="2" t="str">
        <f t="shared" si="25"/>
        <v/>
      </c>
      <c r="L408" s="3" t="str">
        <f t="shared" si="26"/>
        <v/>
      </c>
      <c r="M408" s="2" t="str">
        <f t="shared" si="27"/>
        <v/>
      </c>
      <c r="N408" t="str">
        <f t="shared" si="28"/>
        <v/>
      </c>
    </row>
    <row r="409" spans="7:14" ht="15.6" thickBot="1" x14ac:dyDescent="0.35">
      <c r="G409" s="10"/>
      <c r="J409" s="8"/>
      <c r="K409" s="2" t="str">
        <f t="shared" si="25"/>
        <v/>
      </c>
      <c r="L409" s="3" t="str">
        <f t="shared" si="26"/>
        <v/>
      </c>
      <c r="M409" s="2" t="str">
        <f t="shared" si="27"/>
        <v/>
      </c>
      <c r="N409" t="str">
        <f t="shared" si="28"/>
        <v/>
      </c>
    </row>
    <row r="410" spans="7:14" ht="15.6" thickBot="1" x14ac:dyDescent="0.35">
      <c r="G410" s="10"/>
      <c r="J410" s="8"/>
      <c r="K410" s="2" t="str">
        <f t="shared" si="25"/>
        <v/>
      </c>
      <c r="L410" s="3" t="str">
        <f t="shared" si="26"/>
        <v/>
      </c>
      <c r="M410" s="2" t="str">
        <f t="shared" si="27"/>
        <v/>
      </c>
      <c r="N410" t="str">
        <f t="shared" si="28"/>
        <v/>
      </c>
    </row>
    <row r="411" spans="7:14" ht="15.6" thickBot="1" x14ac:dyDescent="0.35">
      <c r="G411" s="10"/>
      <c r="J411" s="8"/>
      <c r="K411" s="2" t="str">
        <f t="shared" si="25"/>
        <v/>
      </c>
      <c r="L411" s="3" t="str">
        <f t="shared" si="26"/>
        <v/>
      </c>
      <c r="M411" s="2" t="str">
        <f t="shared" si="27"/>
        <v/>
      </c>
      <c r="N411" t="str">
        <f t="shared" si="28"/>
        <v/>
      </c>
    </row>
    <row r="412" spans="7:14" ht="15.6" thickBot="1" x14ac:dyDescent="0.35">
      <c r="G412" s="10"/>
      <c r="J412" s="8"/>
      <c r="K412" s="2" t="str">
        <f t="shared" si="25"/>
        <v/>
      </c>
      <c r="L412" s="3" t="str">
        <f t="shared" si="26"/>
        <v/>
      </c>
      <c r="M412" s="2" t="str">
        <f t="shared" si="27"/>
        <v/>
      </c>
      <c r="N412" t="str">
        <f t="shared" si="28"/>
        <v/>
      </c>
    </row>
    <row r="413" spans="7:14" ht="15.6" thickBot="1" x14ac:dyDescent="0.35">
      <c r="G413" s="10"/>
      <c r="J413" s="8"/>
      <c r="K413" s="2" t="str">
        <f t="shared" si="25"/>
        <v/>
      </c>
      <c r="L413" s="3" t="str">
        <f t="shared" si="26"/>
        <v/>
      </c>
      <c r="M413" s="2" t="str">
        <f t="shared" si="27"/>
        <v/>
      </c>
      <c r="N413" t="str">
        <f t="shared" si="28"/>
        <v/>
      </c>
    </row>
    <row r="414" spans="7:14" ht="15.6" thickBot="1" x14ac:dyDescent="0.35">
      <c r="G414" s="10"/>
      <c r="J414" s="8"/>
      <c r="K414" s="2" t="str">
        <f t="shared" si="25"/>
        <v/>
      </c>
      <c r="L414" s="3" t="str">
        <f t="shared" si="26"/>
        <v/>
      </c>
      <c r="M414" s="2" t="str">
        <f t="shared" si="27"/>
        <v/>
      </c>
      <c r="N414" t="str">
        <f t="shared" si="28"/>
        <v/>
      </c>
    </row>
    <row r="415" spans="7:14" ht="15.6" thickBot="1" x14ac:dyDescent="0.35">
      <c r="G415" s="10"/>
      <c r="J415" s="8"/>
      <c r="K415" s="2" t="str">
        <f t="shared" si="25"/>
        <v/>
      </c>
      <c r="L415" s="3" t="str">
        <f t="shared" si="26"/>
        <v/>
      </c>
      <c r="M415" s="2" t="str">
        <f t="shared" si="27"/>
        <v/>
      </c>
      <c r="N415" t="str">
        <f t="shared" si="28"/>
        <v/>
      </c>
    </row>
    <row r="416" spans="7:14" ht="15.6" thickBot="1" x14ac:dyDescent="0.35">
      <c r="G416" s="10"/>
      <c r="J416" s="8"/>
      <c r="K416" s="2" t="str">
        <f t="shared" si="25"/>
        <v/>
      </c>
      <c r="L416" s="3" t="str">
        <f t="shared" si="26"/>
        <v/>
      </c>
      <c r="M416" s="2" t="str">
        <f t="shared" si="27"/>
        <v/>
      </c>
      <c r="N416" t="str">
        <f t="shared" si="28"/>
        <v/>
      </c>
    </row>
    <row r="417" spans="7:14" ht="15.6" thickBot="1" x14ac:dyDescent="0.35">
      <c r="G417" s="10"/>
      <c r="J417" s="8"/>
      <c r="K417" s="2" t="str">
        <f t="shared" si="25"/>
        <v/>
      </c>
      <c r="L417" s="3" t="str">
        <f t="shared" si="26"/>
        <v/>
      </c>
      <c r="M417" s="2" t="str">
        <f t="shared" si="27"/>
        <v/>
      </c>
      <c r="N417" t="str">
        <f t="shared" si="28"/>
        <v/>
      </c>
    </row>
    <row r="418" spans="7:14" ht="15.6" thickBot="1" x14ac:dyDescent="0.35">
      <c r="G418" s="10"/>
      <c r="J418" s="8"/>
      <c r="K418" s="2" t="str">
        <f t="shared" si="25"/>
        <v/>
      </c>
      <c r="L418" s="3" t="str">
        <f t="shared" si="26"/>
        <v/>
      </c>
      <c r="M418" s="2" t="str">
        <f t="shared" si="27"/>
        <v/>
      </c>
      <c r="N418" t="str">
        <f t="shared" si="28"/>
        <v/>
      </c>
    </row>
    <row r="419" spans="7:14" ht="15.6" thickBot="1" x14ac:dyDescent="0.35">
      <c r="G419" s="10"/>
      <c r="J419" s="8"/>
      <c r="K419" s="2" t="str">
        <f t="shared" si="25"/>
        <v/>
      </c>
      <c r="L419" s="3" t="str">
        <f t="shared" si="26"/>
        <v/>
      </c>
      <c r="M419" s="2" t="str">
        <f t="shared" si="27"/>
        <v/>
      </c>
      <c r="N419" t="str">
        <f t="shared" si="28"/>
        <v/>
      </c>
    </row>
    <row r="420" spans="7:14" ht="15.6" thickBot="1" x14ac:dyDescent="0.35">
      <c r="G420" s="10"/>
      <c r="J420" s="8"/>
      <c r="K420" s="2" t="str">
        <f t="shared" si="25"/>
        <v/>
      </c>
      <c r="L420" s="3" t="str">
        <f t="shared" si="26"/>
        <v/>
      </c>
      <c r="M420" s="2" t="str">
        <f t="shared" si="27"/>
        <v/>
      </c>
      <c r="N420" t="str">
        <f t="shared" si="28"/>
        <v/>
      </c>
    </row>
    <row r="421" spans="7:14" ht="15.6" thickBot="1" x14ac:dyDescent="0.35">
      <c r="G421" s="10"/>
      <c r="J421" s="8"/>
      <c r="K421" s="2" t="str">
        <f t="shared" si="25"/>
        <v/>
      </c>
      <c r="L421" s="3" t="str">
        <f t="shared" si="26"/>
        <v/>
      </c>
      <c r="M421" s="2" t="str">
        <f t="shared" si="27"/>
        <v/>
      </c>
      <c r="N421" t="str">
        <f t="shared" si="28"/>
        <v/>
      </c>
    </row>
    <row r="422" spans="7:14" ht="15.6" thickBot="1" x14ac:dyDescent="0.35">
      <c r="G422" s="10"/>
      <c r="J422" s="8"/>
      <c r="K422" s="2" t="str">
        <f t="shared" si="25"/>
        <v/>
      </c>
      <c r="L422" s="3" t="str">
        <f t="shared" si="26"/>
        <v/>
      </c>
      <c r="M422" s="2" t="str">
        <f t="shared" si="27"/>
        <v/>
      </c>
      <c r="N422" t="str">
        <f t="shared" si="28"/>
        <v/>
      </c>
    </row>
    <row r="423" spans="7:14" ht="15.6" thickBot="1" x14ac:dyDescent="0.35">
      <c r="G423" s="10"/>
      <c r="J423" s="8"/>
      <c r="K423" s="2" t="str">
        <f t="shared" si="25"/>
        <v/>
      </c>
      <c r="L423" s="3" t="str">
        <f t="shared" si="26"/>
        <v/>
      </c>
      <c r="M423" s="2" t="str">
        <f t="shared" si="27"/>
        <v/>
      </c>
      <c r="N423" t="str">
        <f t="shared" si="28"/>
        <v/>
      </c>
    </row>
    <row r="424" spans="7:14" ht="15.6" thickBot="1" x14ac:dyDescent="0.35">
      <c r="G424" s="10"/>
      <c r="J424" s="8"/>
      <c r="K424" s="2" t="str">
        <f t="shared" si="25"/>
        <v/>
      </c>
      <c r="L424" s="3" t="str">
        <f t="shared" si="26"/>
        <v/>
      </c>
      <c r="M424" s="2" t="str">
        <f t="shared" si="27"/>
        <v/>
      </c>
      <c r="N424" t="str">
        <f t="shared" si="28"/>
        <v/>
      </c>
    </row>
    <row r="425" spans="7:14" ht="15.6" thickBot="1" x14ac:dyDescent="0.35">
      <c r="G425" s="10"/>
      <c r="J425" s="8"/>
      <c r="K425" s="2" t="str">
        <f t="shared" si="25"/>
        <v/>
      </c>
      <c r="L425" s="3" t="str">
        <f t="shared" si="26"/>
        <v/>
      </c>
      <c r="M425" s="2" t="str">
        <f t="shared" si="27"/>
        <v/>
      </c>
      <c r="N425" t="str">
        <f t="shared" si="28"/>
        <v/>
      </c>
    </row>
    <row r="426" spans="7:14" ht="15.6" thickBot="1" x14ac:dyDescent="0.35">
      <c r="G426" s="10"/>
      <c r="J426" s="8"/>
      <c r="K426" s="2" t="str">
        <f t="shared" si="25"/>
        <v/>
      </c>
      <c r="L426" s="3" t="str">
        <f t="shared" si="26"/>
        <v/>
      </c>
      <c r="M426" s="2" t="str">
        <f t="shared" si="27"/>
        <v/>
      </c>
      <c r="N426" t="str">
        <f t="shared" si="28"/>
        <v/>
      </c>
    </row>
    <row r="427" spans="7:14" ht="15.6" thickBot="1" x14ac:dyDescent="0.35">
      <c r="G427" s="10"/>
      <c r="J427" s="8"/>
      <c r="K427" s="2" t="str">
        <f t="shared" si="25"/>
        <v/>
      </c>
      <c r="L427" s="3" t="str">
        <f t="shared" si="26"/>
        <v/>
      </c>
      <c r="M427" s="2" t="str">
        <f t="shared" si="27"/>
        <v/>
      </c>
      <c r="N427" t="str">
        <f t="shared" si="28"/>
        <v/>
      </c>
    </row>
    <row r="428" spans="7:14" ht="15.6" thickBot="1" x14ac:dyDescent="0.35">
      <c r="G428" s="10"/>
      <c r="J428" s="8"/>
      <c r="K428" s="2" t="str">
        <f t="shared" si="25"/>
        <v/>
      </c>
      <c r="L428" s="3" t="str">
        <f t="shared" si="26"/>
        <v/>
      </c>
      <c r="M428" s="2" t="str">
        <f t="shared" si="27"/>
        <v/>
      </c>
      <c r="N428" t="str">
        <f t="shared" si="28"/>
        <v/>
      </c>
    </row>
    <row r="429" spans="7:14" ht="15.6" thickBot="1" x14ac:dyDescent="0.35">
      <c r="G429" s="10"/>
      <c r="J429" s="8"/>
      <c r="K429" s="2" t="str">
        <f t="shared" si="25"/>
        <v/>
      </c>
      <c r="L429" s="3" t="str">
        <f t="shared" si="26"/>
        <v/>
      </c>
      <c r="M429" s="2" t="str">
        <f t="shared" si="27"/>
        <v/>
      </c>
      <c r="N429" t="str">
        <f t="shared" si="28"/>
        <v/>
      </c>
    </row>
    <row r="430" spans="7:14" ht="15.6" thickBot="1" x14ac:dyDescent="0.35">
      <c r="G430" s="10"/>
      <c r="J430" s="8"/>
      <c r="K430" s="2" t="str">
        <f t="shared" si="25"/>
        <v/>
      </c>
      <c r="L430" s="3" t="str">
        <f t="shared" si="26"/>
        <v/>
      </c>
      <c r="M430" s="2" t="str">
        <f t="shared" si="27"/>
        <v/>
      </c>
      <c r="N430" t="str">
        <f t="shared" si="28"/>
        <v/>
      </c>
    </row>
    <row r="431" spans="7:14" ht="15.6" thickBot="1" x14ac:dyDescent="0.35">
      <c r="G431" s="10"/>
      <c r="J431" s="8"/>
      <c r="K431" s="2" t="str">
        <f t="shared" si="25"/>
        <v/>
      </c>
      <c r="L431" s="3" t="str">
        <f t="shared" si="26"/>
        <v/>
      </c>
      <c r="M431" s="2" t="str">
        <f t="shared" si="27"/>
        <v/>
      </c>
      <c r="N431" t="str">
        <f t="shared" si="28"/>
        <v/>
      </c>
    </row>
    <row r="432" spans="7:14" ht="15.6" thickBot="1" x14ac:dyDescent="0.35">
      <c r="G432" s="10"/>
      <c r="J432" s="8"/>
      <c r="K432" s="2" t="str">
        <f t="shared" si="25"/>
        <v/>
      </c>
      <c r="L432" s="3" t="str">
        <f t="shared" si="26"/>
        <v/>
      </c>
      <c r="M432" s="2" t="str">
        <f t="shared" si="27"/>
        <v/>
      </c>
      <c r="N432" t="str">
        <f t="shared" si="28"/>
        <v/>
      </c>
    </row>
    <row r="433" spans="7:14" ht="15.6" thickBot="1" x14ac:dyDescent="0.35">
      <c r="G433" s="10"/>
      <c r="J433" s="8"/>
      <c r="K433" s="2" t="str">
        <f t="shared" si="25"/>
        <v/>
      </c>
      <c r="L433" s="3" t="str">
        <f t="shared" si="26"/>
        <v/>
      </c>
      <c r="M433" s="2" t="str">
        <f t="shared" si="27"/>
        <v/>
      </c>
      <c r="N433" t="str">
        <f t="shared" si="28"/>
        <v/>
      </c>
    </row>
    <row r="434" spans="7:14" ht="15.6" thickBot="1" x14ac:dyDescent="0.35">
      <c r="G434" s="10"/>
      <c r="J434" s="8"/>
      <c r="K434" s="2" t="str">
        <f t="shared" si="25"/>
        <v/>
      </c>
      <c r="L434" s="3" t="str">
        <f t="shared" si="26"/>
        <v/>
      </c>
      <c r="M434" s="2" t="str">
        <f t="shared" si="27"/>
        <v/>
      </c>
      <c r="N434" t="str">
        <f t="shared" si="28"/>
        <v/>
      </c>
    </row>
    <row r="435" spans="7:14" ht="15.6" thickBot="1" x14ac:dyDescent="0.35">
      <c r="G435" s="10"/>
      <c r="J435" s="8"/>
      <c r="K435" s="2" t="str">
        <f t="shared" si="25"/>
        <v/>
      </c>
      <c r="L435" s="3" t="str">
        <f t="shared" si="26"/>
        <v/>
      </c>
      <c r="M435" s="2" t="str">
        <f t="shared" si="27"/>
        <v/>
      </c>
      <c r="N435" t="str">
        <f t="shared" si="28"/>
        <v/>
      </c>
    </row>
    <row r="436" spans="7:14" ht="15.6" thickBot="1" x14ac:dyDescent="0.35">
      <c r="G436" s="10"/>
      <c r="J436" s="8"/>
      <c r="K436" s="2" t="str">
        <f t="shared" si="25"/>
        <v/>
      </c>
      <c r="L436" s="3" t="str">
        <f t="shared" si="26"/>
        <v/>
      </c>
      <c r="M436" s="2" t="str">
        <f t="shared" si="27"/>
        <v/>
      </c>
      <c r="N436" t="str">
        <f t="shared" si="28"/>
        <v/>
      </c>
    </row>
    <row r="437" spans="7:14" ht="15.6" thickBot="1" x14ac:dyDescent="0.35">
      <c r="G437" s="10"/>
      <c r="J437" s="8"/>
      <c r="K437" s="2" t="str">
        <f t="shared" si="25"/>
        <v/>
      </c>
      <c r="L437" s="3" t="str">
        <f t="shared" si="26"/>
        <v/>
      </c>
      <c r="M437" s="2" t="str">
        <f t="shared" si="27"/>
        <v/>
      </c>
      <c r="N437" t="str">
        <f t="shared" si="28"/>
        <v/>
      </c>
    </row>
    <row r="438" spans="7:14" ht="15.6" thickBot="1" x14ac:dyDescent="0.35">
      <c r="G438" s="10"/>
      <c r="J438" s="8"/>
      <c r="K438" s="2" t="str">
        <f t="shared" si="25"/>
        <v/>
      </c>
      <c r="L438" s="3" t="str">
        <f t="shared" si="26"/>
        <v/>
      </c>
      <c r="M438" s="2" t="str">
        <f t="shared" si="27"/>
        <v/>
      </c>
      <c r="N438" t="str">
        <f t="shared" si="28"/>
        <v/>
      </c>
    </row>
    <row r="439" spans="7:14" ht="15.6" thickBot="1" x14ac:dyDescent="0.35">
      <c r="G439" s="10"/>
      <c r="J439" s="8"/>
      <c r="K439" s="2" t="str">
        <f t="shared" si="25"/>
        <v/>
      </c>
      <c r="L439" s="3" t="str">
        <f t="shared" si="26"/>
        <v/>
      </c>
      <c r="M439" s="2" t="str">
        <f t="shared" si="27"/>
        <v/>
      </c>
      <c r="N439" t="str">
        <f t="shared" si="28"/>
        <v/>
      </c>
    </row>
    <row r="440" spans="7:14" ht="15.6" thickBot="1" x14ac:dyDescent="0.35">
      <c r="G440" s="10"/>
      <c r="J440" s="8"/>
      <c r="K440" s="2" t="str">
        <f t="shared" si="25"/>
        <v/>
      </c>
      <c r="L440" s="3" t="str">
        <f t="shared" si="26"/>
        <v/>
      </c>
      <c r="M440" s="2" t="str">
        <f t="shared" si="27"/>
        <v/>
      </c>
      <c r="N440" t="str">
        <f t="shared" si="28"/>
        <v/>
      </c>
    </row>
    <row r="441" spans="7:14" ht="15.6" thickBot="1" x14ac:dyDescent="0.35">
      <c r="G441" s="10"/>
      <c r="J441" s="8"/>
      <c r="K441" s="2" t="str">
        <f t="shared" si="25"/>
        <v/>
      </c>
      <c r="L441" s="3" t="str">
        <f t="shared" si="26"/>
        <v/>
      </c>
      <c r="M441" s="2" t="str">
        <f t="shared" si="27"/>
        <v/>
      </c>
      <c r="N441" t="str">
        <f t="shared" si="28"/>
        <v/>
      </c>
    </row>
    <row r="442" spans="7:14" ht="15.6" thickBot="1" x14ac:dyDescent="0.35">
      <c r="G442" s="10"/>
      <c r="J442" s="8"/>
      <c r="K442" s="2" t="str">
        <f t="shared" si="25"/>
        <v/>
      </c>
      <c r="L442" s="3" t="str">
        <f t="shared" si="26"/>
        <v/>
      </c>
      <c r="M442" s="2" t="str">
        <f t="shared" si="27"/>
        <v/>
      </c>
      <c r="N442" t="str">
        <f t="shared" si="28"/>
        <v/>
      </c>
    </row>
    <row r="443" spans="7:14" ht="15.6" thickBot="1" x14ac:dyDescent="0.35">
      <c r="G443" s="10"/>
      <c r="J443" s="8"/>
      <c r="K443" s="2" t="str">
        <f t="shared" si="25"/>
        <v/>
      </c>
      <c r="L443" s="3" t="str">
        <f t="shared" si="26"/>
        <v/>
      </c>
      <c r="M443" s="2" t="str">
        <f t="shared" si="27"/>
        <v/>
      </c>
      <c r="N443" t="str">
        <f t="shared" si="28"/>
        <v/>
      </c>
    </row>
    <row r="444" spans="7:14" ht="15.6" thickBot="1" x14ac:dyDescent="0.35">
      <c r="G444" s="10"/>
      <c r="J444" s="8"/>
      <c r="K444" s="2" t="str">
        <f t="shared" si="25"/>
        <v/>
      </c>
      <c r="L444" s="3" t="str">
        <f t="shared" si="26"/>
        <v/>
      </c>
      <c r="M444" s="2" t="str">
        <f t="shared" si="27"/>
        <v/>
      </c>
      <c r="N444" t="str">
        <f t="shared" si="28"/>
        <v/>
      </c>
    </row>
    <row r="445" spans="7:14" ht="15.6" thickBot="1" x14ac:dyDescent="0.35">
      <c r="G445" s="10"/>
      <c r="J445" s="8"/>
      <c r="K445" s="2" t="str">
        <f t="shared" si="25"/>
        <v/>
      </c>
      <c r="L445" s="3" t="str">
        <f t="shared" si="26"/>
        <v/>
      </c>
      <c r="M445" s="2" t="str">
        <f t="shared" si="27"/>
        <v/>
      </c>
      <c r="N445" t="str">
        <f t="shared" si="28"/>
        <v/>
      </c>
    </row>
    <row r="446" spans="7:14" ht="15.6" thickBot="1" x14ac:dyDescent="0.35">
      <c r="G446" s="10"/>
      <c r="J446" s="8"/>
      <c r="K446" s="2" t="str">
        <f t="shared" si="25"/>
        <v/>
      </c>
      <c r="L446" s="3" t="str">
        <f t="shared" si="26"/>
        <v/>
      </c>
      <c r="M446" s="2" t="str">
        <f t="shared" si="27"/>
        <v/>
      </c>
      <c r="N446" t="str">
        <f t="shared" si="28"/>
        <v/>
      </c>
    </row>
    <row r="447" spans="7:14" ht="15.6" thickBot="1" x14ac:dyDescent="0.35">
      <c r="G447" s="10"/>
      <c r="J447" s="8"/>
      <c r="K447" s="2" t="str">
        <f t="shared" si="25"/>
        <v/>
      </c>
      <c r="L447" s="3" t="str">
        <f t="shared" si="26"/>
        <v/>
      </c>
      <c r="M447" s="2" t="str">
        <f t="shared" si="27"/>
        <v/>
      </c>
      <c r="N447" t="str">
        <f t="shared" si="28"/>
        <v/>
      </c>
    </row>
    <row r="448" spans="7:14" ht="15.6" thickBot="1" x14ac:dyDescent="0.35">
      <c r="G448" s="10"/>
      <c r="J448" s="8"/>
      <c r="K448" s="2" t="str">
        <f t="shared" si="25"/>
        <v/>
      </c>
      <c r="L448" s="3" t="str">
        <f t="shared" si="26"/>
        <v/>
      </c>
      <c r="M448" s="2" t="str">
        <f t="shared" si="27"/>
        <v/>
      </c>
      <c r="N448" t="str">
        <f t="shared" si="28"/>
        <v/>
      </c>
    </row>
    <row r="449" spans="7:14" ht="15.6" thickBot="1" x14ac:dyDescent="0.35">
      <c r="G449" s="10"/>
      <c r="J449" s="8"/>
      <c r="K449" s="2" t="str">
        <f t="shared" si="25"/>
        <v/>
      </c>
      <c r="L449" s="3" t="str">
        <f t="shared" si="26"/>
        <v/>
      </c>
      <c r="M449" s="2" t="str">
        <f t="shared" si="27"/>
        <v/>
      </c>
      <c r="N449" t="str">
        <f t="shared" si="28"/>
        <v/>
      </c>
    </row>
    <row r="450" spans="7:14" ht="15.6" thickBot="1" x14ac:dyDescent="0.35">
      <c r="G450" s="10"/>
      <c r="J450" s="8"/>
      <c r="K450" s="2" t="str">
        <f t="shared" si="25"/>
        <v/>
      </c>
      <c r="L450" s="3" t="str">
        <f t="shared" si="26"/>
        <v/>
      </c>
      <c r="M450" s="2" t="str">
        <f t="shared" si="27"/>
        <v/>
      </c>
      <c r="N450" t="str">
        <f t="shared" si="28"/>
        <v/>
      </c>
    </row>
    <row r="451" spans="7:14" ht="15.6" thickBot="1" x14ac:dyDescent="0.35">
      <c r="G451" s="10"/>
      <c r="J451" s="8"/>
      <c r="K451" s="2" t="str">
        <f t="shared" si="25"/>
        <v/>
      </c>
      <c r="L451" s="3" t="str">
        <f t="shared" si="26"/>
        <v/>
      </c>
      <c r="M451" s="2" t="str">
        <f t="shared" si="27"/>
        <v/>
      </c>
      <c r="N451" t="str">
        <f t="shared" si="28"/>
        <v/>
      </c>
    </row>
    <row r="452" spans="7:14" ht="15.6" thickBot="1" x14ac:dyDescent="0.35">
      <c r="G452" s="10"/>
      <c r="J452" s="8"/>
      <c r="K452" s="2" t="str">
        <f t="shared" si="25"/>
        <v/>
      </c>
      <c r="L452" s="3" t="str">
        <f t="shared" si="26"/>
        <v/>
      </c>
      <c r="M452" s="2" t="str">
        <f t="shared" si="27"/>
        <v/>
      </c>
      <c r="N452" t="str">
        <f t="shared" si="28"/>
        <v/>
      </c>
    </row>
    <row r="453" spans="7:14" ht="15.6" thickBot="1" x14ac:dyDescent="0.35">
      <c r="G453" s="10"/>
      <c r="J453" s="8"/>
      <c r="K453" s="2" t="str">
        <f t="shared" ref="K453:K516" si="29">SUBSTITUTE(I453,CHAR(10),"&lt;br&gt;")</f>
        <v/>
      </c>
      <c r="L453" s="3" t="str">
        <f t="shared" ref="L453:L516" si="30">IF(B453="","","{"&amp;$M$1&amp;"no"&amp;$M$1&amp;":"&amp;$M$1&amp;""&amp;B453&amp;""&amp;$M$1&amp;","&amp;$M$1&amp;"name"&amp;$M$1&amp;":"&amp;$M$1&amp;""&amp;C453&amp;""&amp;$M$1&amp;","&amp;$M$1&amp;"category"&amp;$M$1&amp;":"&amp;$M$1&amp;""&amp;D453&amp;""&amp;$M$1&amp;","&amp;$M$1&amp;"price"&amp;$M$1&amp;":"&amp;E453&amp;","&amp;$M$1&amp;"quantity"&amp;$M$1&amp;":"&amp;F453&amp;","&amp;$M$1&amp;"discount"&amp;$M$1&amp;":"&amp;G453*100&amp;","&amp;$M$1&amp;"images"&amp;$M$1&amp;":"&amp;$M$1&amp;""&amp;H453&amp;""&amp;$M$1&amp;","&amp;$M$1&amp;"description"&amp;$M$1&amp;":"&amp;$M$1&amp;""&amp;K453&amp;""&amp;$M$1&amp;"}")</f>
        <v/>
      </c>
      <c r="M453" s="2" t="str">
        <f t="shared" ref="M453:M516" si="31">IF(L454="","",",")</f>
        <v/>
      </c>
      <c r="N453" t="str">
        <f t="shared" si="28"/>
        <v/>
      </c>
    </row>
    <row r="454" spans="7:14" ht="15.6" thickBot="1" x14ac:dyDescent="0.35">
      <c r="G454" s="10"/>
      <c r="J454" s="8"/>
      <c r="K454" s="2" t="str">
        <f t="shared" si="29"/>
        <v/>
      </c>
      <c r="L454" s="3" t="str">
        <f t="shared" si="30"/>
        <v/>
      </c>
      <c r="M454" s="2" t="str">
        <f t="shared" si="31"/>
        <v/>
      </c>
      <c r="N454" t="str">
        <f t="shared" si="28"/>
        <v/>
      </c>
    </row>
    <row r="455" spans="7:14" ht="15.6" thickBot="1" x14ac:dyDescent="0.35">
      <c r="G455" s="10"/>
      <c r="J455" s="8"/>
      <c r="K455" s="2" t="str">
        <f t="shared" si="29"/>
        <v/>
      </c>
      <c r="L455" s="3" t="str">
        <f t="shared" si="30"/>
        <v/>
      </c>
      <c r="M455" s="2" t="str">
        <f t="shared" si="31"/>
        <v/>
      </c>
      <c r="N455" t="str">
        <f t="shared" si="28"/>
        <v/>
      </c>
    </row>
    <row r="456" spans="7:14" ht="15.6" thickBot="1" x14ac:dyDescent="0.35">
      <c r="G456" s="10"/>
      <c r="J456" s="8"/>
      <c r="K456" s="2" t="str">
        <f t="shared" si="29"/>
        <v/>
      </c>
      <c r="L456" s="3" t="str">
        <f t="shared" si="30"/>
        <v/>
      </c>
      <c r="M456" s="2" t="str">
        <f t="shared" si="31"/>
        <v/>
      </c>
      <c r="N456" t="str">
        <f t="shared" si="28"/>
        <v/>
      </c>
    </row>
    <row r="457" spans="7:14" ht="15.6" thickBot="1" x14ac:dyDescent="0.35">
      <c r="G457" s="10"/>
      <c r="J457" s="8"/>
      <c r="K457" s="2" t="str">
        <f t="shared" si="29"/>
        <v/>
      </c>
      <c r="L457" s="3" t="str">
        <f t="shared" si="30"/>
        <v/>
      </c>
      <c r="M457" s="2" t="str">
        <f t="shared" si="31"/>
        <v/>
      </c>
      <c r="N457" t="str">
        <f t="shared" ref="N457:N520" si="32">_xlfn.CONCAT(L457,M457)</f>
        <v/>
      </c>
    </row>
    <row r="458" spans="7:14" ht="15.6" thickBot="1" x14ac:dyDescent="0.35">
      <c r="G458" s="10"/>
      <c r="J458" s="8"/>
      <c r="K458" s="2" t="str">
        <f t="shared" si="29"/>
        <v/>
      </c>
      <c r="L458" s="3" t="str">
        <f t="shared" si="30"/>
        <v/>
      </c>
      <c r="M458" s="2" t="str">
        <f t="shared" si="31"/>
        <v/>
      </c>
      <c r="N458" t="str">
        <f t="shared" si="32"/>
        <v/>
      </c>
    </row>
    <row r="459" spans="7:14" ht="15.6" thickBot="1" x14ac:dyDescent="0.35">
      <c r="G459" s="10"/>
      <c r="J459" s="8"/>
      <c r="K459" s="2" t="str">
        <f t="shared" si="29"/>
        <v/>
      </c>
      <c r="L459" s="3" t="str">
        <f t="shared" si="30"/>
        <v/>
      </c>
      <c r="M459" s="2" t="str">
        <f t="shared" si="31"/>
        <v/>
      </c>
      <c r="N459" t="str">
        <f t="shared" si="32"/>
        <v/>
      </c>
    </row>
    <row r="460" spans="7:14" ht="15.6" thickBot="1" x14ac:dyDescent="0.35">
      <c r="G460" s="10"/>
      <c r="J460" s="8"/>
      <c r="K460" s="2" t="str">
        <f t="shared" si="29"/>
        <v/>
      </c>
      <c r="L460" s="3" t="str">
        <f t="shared" si="30"/>
        <v/>
      </c>
      <c r="M460" s="2" t="str">
        <f t="shared" si="31"/>
        <v/>
      </c>
      <c r="N460" t="str">
        <f t="shared" si="32"/>
        <v/>
      </c>
    </row>
    <row r="461" spans="7:14" ht="15.6" thickBot="1" x14ac:dyDescent="0.35">
      <c r="G461" s="10"/>
      <c r="J461" s="8"/>
      <c r="K461" s="2" t="str">
        <f t="shared" si="29"/>
        <v/>
      </c>
      <c r="L461" s="3" t="str">
        <f t="shared" si="30"/>
        <v/>
      </c>
      <c r="M461" s="2" t="str">
        <f t="shared" si="31"/>
        <v/>
      </c>
      <c r="N461" t="str">
        <f t="shared" si="32"/>
        <v/>
      </c>
    </row>
    <row r="462" spans="7:14" ht="15.6" thickBot="1" x14ac:dyDescent="0.35">
      <c r="G462" s="10"/>
      <c r="J462" s="8"/>
      <c r="K462" s="2" t="str">
        <f t="shared" si="29"/>
        <v/>
      </c>
      <c r="L462" s="3" t="str">
        <f t="shared" si="30"/>
        <v/>
      </c>
      <c r="M462" s="2" t="str">
        <f t="shared" si="31"/>
        <v/>
      </c>
      <c r="N462" t="str">
        <f t="shared" si="32"/>
        <v/>
      </c>
    </row>
    <row r="463" spans="7:14" ht="15.6" thickBot="1" x14ac:dyDescent="0.35">
      <c r="G463" s="10"/>
      <c r="J463" s="8"/>
      <c r="K463" s="2" t="str">
        <f t="shared" si="29"/>
        <v/>
      </c>
      <c r="L463" s="3" t="str">
        <f t="shared" si="30"/>
        <v/>
      </c>
      <c r="M463" s="2" t="str">
        <f t="shared" si="31"/>
        <v/>
      </c>
      <c r="N463" t="str">
        <f t="shared" si="32"/>
        <v/>
      </c>
    </row>
    <row r="464" spans="7:14" ht="15.6" thickBot="1" x14ac:dyDescent="0.35">
      <c r="G464" s="10"/>
      <c r="J464" s="8"/>
      <c r="K464" s="2" t="str">
        <f t="shared" si="29"/>
        <v/>
      </c>
      <c r="L464" s="3" t="str">
        <f t="shared" si="30"/>
        <v/>
      </c>
      <c r="M464" s="2" t="str">
        <f t="shared" si="31"/>
        <v/>
      </c>
      <c r="N464" t="str">
        <f t="shared" si="32"/>
        <v/>
      </c>
    </row>
    <row r="465" spans="7:14" ht="15.6" thickBot="1" x14ac:dyDescent="0.35">
      <c r="G465" s="10"/>
      <c r="J465" s="8"/>
      <c r="K465" s="2" t="str">
        <f t="shared" si="29"/>
        <v/>
      </c>
      <c r="L465" s="3" t="str">
        <f t="shared" si="30"/>
        <v/>
      </c>
      <c r="M465" s="2" t="str">
        <f t="shared" si="31"/>
        <v/>
      </c>
      <c r="N465" t="str">
        <f t="shared" si="32"/>
        <v/>
      </c>
    </row>
    <row r="466" spans="7:14" ht="15.6" thickBot="1" x14ac:dyDescent="0.35">
      <c r="G466" s="10"/>
      <c r="J466" s="8"/>
      <c r="K466" s="2" t="str">
        <f t="shared" si="29"/>
        <v/>
      </c>
      <c r="L466" s="3" t="str">
        <f t="shared" si="30"/>
        <v/>
      </c>
      <c r="M466" s="2" t="str">
        <f t="shared" si="31"/>
        <v/>
      </c>
      <c r="N466" t="str">
        <f t="shared" si="32"/>
        <v/>
      </c>
    </row>
    <row r="467" spans="7:14" ht="15.6" thickBot="1" x14ac:dyDescent="0.35">
      <c r="G467" s="10"/>
      <c r="J467" s="8"/>
      <c r="K467" s="2" t="str">
        <f t="shared" si="29"/>
        <v/>
      </c>
      <c r="L467" s="3" t="str">
        <f t="shared" si="30"/>
        <v/>
      </c>
      <c r="M467" s="2" t="str">
        <f t="shared" si="31"/>
        <v/>
      </c>
      <c r="N467" t="str">
        <f t="shared" si="32"/>
        <v/>
      </c>
    </row>
    <row r="468" spans="7:14" ht="15.6" thickBot="1" x14ac:dyDescent="0.35">
      <c r="G468" s="10"/>
      <c r="J468" s="8"/>
      <c r="K468" s="2" t="str">
        <f t="shared" si="29"/>
        <v/>
      </c>
      <c r="L468" s="3" t="str">
        <f t="shared" si="30"/>
        <v/>
      </c>
      <c r="M468" s="2" t="str">
        <f t="shared" si="31"/>
        <v/>
      </c>
      <c r="N468" t="str">
        <f t="shared" si="32"/>
        <v/>
      </c>
    </row>
    <row r="469" spans="7:14" ht="15.6" thickBot="1" x14ac:dyDescent="0.35">
      <c r="G469" s="10"/>
      <c r="J469" s="8"/>
      <c r="K469" s="2" t="str">
        <f t="shared" si="29"/>
        <v/>
      </c>
      <c r="L469" s="3" t="str">
        <f t="shared" si="30"/>
        <v/>
      </c>
      <c r="M469" s="2" t="str">
        <f t="shared" si="31"/>
        <v/>
      </c>
      <c r="N469" t="str">
        <f t="shared" si="32"/>
        <v/>
      </c>
    </row>
    <row r="470" spans="7:14" ht="15.6" thickBot="1" x14ac:dyDescent="0.35">
      <c r="G470" s="10"/>
      <c r="J470" s="8"/>
      <c r="K470" s="2" t="str">
        <f t="shared" si="29"/>
        <v/>
      </c>
      <c r="L470" s="3" t="str">
        <f t="shared" si="30"/>
        <v/>
      </c>
      <c r="M470" s="2" t="str">
        <f t="shared" si="31"/>
        <v/>
      </c>
      <c r="N470" t="str">
        <f t="shared" si="32"/>
        <v/>
      </c>
    </row>
    <row r="471" spans="7:14" ht="15.6" thickBot="1" x14ac:dyDescent="0.35">
      <c r="G471" s="10"/>
      <c r="J471" s="8"/>
      <c r="K471" s="2" t="str">
        <f t="shared" si="29"/>
        <v/>
      </c>
      <c r="L471" s="3" t="str">
        <f t="shared" si="30"/>
        <v/>
      </c>
      <c r="M471" s="2" t="str">
        <f t="shared" si="31"/>
        <v/>
      </c>
      <c r="N471" t="str">
        <f t="shared" si="32"/>
        <v/>
      </c>
    </row>
    <row r="472" spans="7:14" ht="15.6" thickBot="1" x14ac:dyDescent="0.35">
      <c r="G472" s="10"/>
      <c r="J472" s="8"/>
      <c r="K472" s="2" t="str">
        <f t="shared" si="29"/>
        <v/>
      </c>
      <c r="L472" s="3" t="str">
        <f t="shared" si="30"/>
        <v/>
      </c>
      <c r="M472" s="2" t="str">
        <f t="shared" si="31"/>
        <v/>
      </c>
      <c r="N472" t="str">
        <f t="shared" si="32"/>
        <v/>
      </c>
    </row>
    <row r="473" spans="7:14" ht="15.6" thickBot="1" x14ac:dyDescent="0.35">
      <c r="G473" s="10"/>
      <c r="J473" s="8"/>
      <c r="K473" s="2" t="str">
        <f t="shared" si="29"/>
        <v/>
      </c>
      <c r="L473" s="3" t="str">
        <f t="shared" si="30"/>
        <v/>
      </c>
      <c r="M473" s="2" t="str">
        <f t="shared" si="31"/>
        <v/>
      </c>
      <c r="N473" t="str">
        <f t="shared" si="32"/>
        <v/>
      </c>
    </row>
    <row r="474" spans="7:14" ht="15.6" thickBot="1" x14ac:dyDescent="0.35">
      <c r="G474" s="10"/>
      <c r="J474" s="8"/>
      <c r="K474" s="2" t="str">
        <f t="shared" si="29"/>
        <v/>
      </c>
      <c r="L474" s="3" t="str">
        <f t="shared" si="30"/>
        <v/>
      </c>
      <c r="M474" s="2" t="str">
        <f t="shared" si="31"/>
        <v/>
      </c>
      <c r="N474" t="str">
        <f t="shared" si="32"/>
        <v/>
      </c>
    </row>
    <row r="475" spans="7:14" ht="15.6" thickBot="1" x14ac:dyDescent="0.35">
      <c r="G475" s="10"/>
      <c r="J475" s="8"/>
      <c r="K475" s="2" t="str">
        <f t="shared" si="29"/>
        <v/>
      </c>
      <c r="L475" s="3" t="str">
        <f t="shared" si="30"/>
        <v/>
      </c>
      <c r="M475" s="2" t="str">
        <f t="shared" si="31"/>
        <v/>
      </c>
      <c r="N475" t="str">
        <f t="shared" si="32"/>
        <v/>
      </c>
    </row>
    <row r="476" spans="7:14" ht="15.6" thickBot="1" x14ac:dyDescent="0.35">
      <c r="G476" s="10"/>
      <c r="J476" s="8"/>
      <c r="K476" s="2" t="str">
        <f t="shared" si="29"/>
        <v/>
      </c>
      <c r="L476" s="3" t="str">
        <f t="shared" si="30"/>
        <v/>
      </c>
      <c r="M476" s="2" t="str">
        <f t="shared" si="31"/>
        <v/>
      </c>
      <c r="N476" t="str">
        <f t="shared" si="32"/>
        <v/>
      </c>
    </row>
    <row r="477" spans="7:14" ht="15.6" thickBot="1" x14ac:dyDescent="0.35">
      <c r="G477" s="10"/>
      <c r="J477" s="8"/>
      <c r="K477" s="2" t="str">
        <f t="shared" si="29"/>
        <v/>
      </c>
      <c r="L477" s="3" t="str">
        <f t="shared" si="30"/>
        <v/>
      </c>
      <c r="M477" s="2" t="str">
        <f t="shared" si="31"/>
        <v/>
      </c>
      <c r="N477" t="str">
        <f t="shared" si="32"/>
        <v/>
      </c>
    </row>
    <row r="478" spans="7:14" ht="15.6" thickBot="1" x14ac:dyDescent="0.35">
      <c r="G478" s="10"/>
      <c r="J478" s="8"/>
      <c r="K478" s="2" t="str">
        <f t="shared" si="29"/>
        <v/>
      </c>
      <c r="L478" s="3" t="str">
        <f t="shared" si="30"/>
        <v/>
      </c>
      <c r="M478" s="2" t="str">
        <f t="shared" si="31"/>
        <v/>
      </c>
      <c r="N478" t="str">
        <f t="shared" si="32"/>
        <v/>
      </c>
    </row>
    <row r="479" spans="7:14" ht="15.6" thickBot="1" x14ac:dyDescent="0.35">
      <c r="G479" s="10"/>
      <c r="J479" s="8"/>
      <c r="K479" s="2" t="str">
        <f t="shared" si="29"/>
        <v/>
      </c>
      <c r="L479" s="3" t="str">
        <f t="shared" si="30"/>
        <v/>
      </c>
      <c r="M479" s="2" t="str">
        <f t="shared" si="31"/>
        <v/>
      </c>
      <c r="N479" t="str">
        <f t="shared" si="32"/>
        <v/>
      </c>
    </row>
    <row r="480" spans="7:14" ht="15.6" thickBot="1" x14ac:dyDescent="0.35">
      <c r="G480" s="10"/>
      <c r="J480" s="8"/>
      <c r="K480" s="2" t="str">
        <f t="shared" si="29"/>
        <v/>
      </c>
      <c r="L480" s="3" t="str">
        <f t="shared" si="30"/>
        <v/>
      </c>
      <c r="M480" s="2" t="str">
        <f t="shared" si="31"/>
        <v/>
      </c>
      <c r="N480" t="str">
        <f t="shared" si="32"/>
        <v/>
      </c>
    </row>
    <row r="481" spans="7:14" ht="15.6" thickBot="1" x14ac:dyDescent="0.35">
      <c r="G481" s="10"/>
      <c r="J481" s="8"/>
      <c r="K481" s="2" t="str">
        <f t="shared" si="29"/>
        <v/>
      </c>
      <c r="L481" s="3" t="str">
        <f t="shared" si="30"/>
        <v/>
      </c>
      <c r="M481" s="2" t="str">
        <f t="shared" si="31"/>
        <v/>
      </c>
      <c r="N481" t="str">
        <f t="shared" si="32"/>
        <v/>
      </c>
    </row>
    <row r="482" spans="7:14" ht="15.6" thickBot="1" x14ac:dyDescent="0.35">
      <c r="G482" s="10"/>
      <c r="J482" s="8"/>
      <c r="K482" s="2" t="str">
        <f t="shared" si="29"/>
        <v/>
      </c>
      <c r="L482" s="3" t="str">
        <f t="shared" si="30"/>
        <v/>
      </c>
      <c r="M482" s="2" t="str">
        <f t="shared" si="31"/>
        <v/>
      </c>
      <c r="N482" t="str">
        <f t="shared" si="32"/>
        <v/>
      </c>
    </row>
    <row r="483" spans="7:14" ht="15.6" thickBot="1" x14ac:dyDescent="0.35">
      <c r="G483" s="10"/>
      <c r="J483" s="8"/>
      <c r="K483" s="2" t="str">
        <f t="shared" si="29"/>
        <v/>
      </c>
      <c r="L483" s="3" t="str">
        <f t="shared" si="30"/>
        <v/>
      </c>
      <c r="M483" s="2" t="str">
        <f t="shared" si="31"/>
        <v/>
      </c>
      <c r="N483" t="str">
        <f t="shared" si="32"/>
        <v/>
      </c>
    </row>
    <row r="484" spans="7:14" ht="15.6" thickBot="1" x14ac:dyDescent="0.35">
      <c r="G484" s="10"/>
      <c r="J484" s="8"/>
      <c r="K484" s="2" t="str">
        <f t="shared" si="29"/>
        <v/>
      </c>
      <c r="L484" s="3" t="str">
        <f t="shared" si="30"/>
        <v/>
      </c>
      <c r="M484" s="2" t="str">
        <f t="shared" si="31"/>
        <v/>
      </c>
      <c r="N484" t="str">
        <f t="shared" si="32"/>
        <v/>
      </c>
    </row>
    <row r="485" spans="7:14" ht="15.6" thickBot="1" x14ac:dyDescent="0.35">
      <c r="G485" s="10"/>
      <c r="J485" s="8"/>
      <c r="K485" s="2" t="str">
        <f t="shared" si="29"/>
        <v/>
      </c>
      <c r="L485" s="3" t="str">
        <f t="shared" si="30"/>
        <v/>
      </c>
      <c r="M485" s="2" t="str">
        <f t="shared" si="31"/>
        <v/>
      </c>
      <c r="N485" t="str">
        <f t="shared" si="32"/>
        <v/>
      </c>
    </row>
    <row r="486" spans="7:14" ht="15.6" thickBot="1" x14ac:dyDescent="0.35">
      <c r="G486" s="10"/>
      <c r="J486" s="8"/>
      <c r="K486" s="2" t="str">
        <f t="shared" si="29"/>
        <v/>
      </c>
      <c r="L486" s="3" t="str">
        <f t="shared" si="30"/>
        <v/>
      </c>
      <c r="M486" s="2" t="str">
        <f t="shared" si="31"/>
        <v/>
      </c>
      <c r="N486" t="str">
        <f t="shared" si="32"/>
        <v/>
      </c>
    </row>
    <row r="487" spans="7:14" ht="15.6" thickBot="1" x14ac:dyDescent="0.35">
      <c r="G487" s="10"/>
      <c r="J487" s="8"/>
      <c r="K487" s="2" t="str">
        <f t="shared" si="29"/>
        <v/>
      </c>
      <c r="L487" s="3" t="str">
        <f t="shared" si="30"/>
        <v/>
      </c>
      <c r="M487" s="2" t="str">
        <f t="shared" si="31"/>
        <v/>
      </c>
      <c r="N487" t="str">
        <f t="shared" si="32"/>
        <v/>
      </c>
    </row>
    <row r="488" spans="7:14" ht="15.6" thickBot="1" x14ac:dyDescent="0.35">
      <c r="G488" s="10"/>
      <c r="J488" s="8"/>
      <c r="K488" s="2" t="str">
        <f t="shared" si="29"/>
        <v/>
      </c>
      <c r="L488" s="3" t="str">
        <f t="shared" si="30"/>
        <v/>
      </c>
      <c r="M488" s="2" t="str">
        <f t="shared" si="31"/>
        <v/>
      </c>
      <c r="N488" t="str">
        <f t="shared" si="32"/>
        <v/>
      </c>
    </row>
    <row r="489" spans="7:14" ht="15.6" thickBot="1" x14ac:dyDescent="0.35">
      <c r="G489" s="10"/>
      <c r="J489" s="8"/>
      <c r="K489" s="2" t="str">
        <f t="shared" si="29"/>
        <v/>
      </c>
      <c r="L489" s="3" t="str">
        <f t="shared" si="30"/>
        <v/>
      </c>
      <c r="M489" s="2" t="str">
        <f t="shared" si="31"/>
        <v/>
      </c>
      <c r="N489" t="str">
        <f t="shared" si="32"/>
        <v/>
      </c>
    </row>
    <row r="490" spans="7:14" ht="15.6" thickBot="1" x14ac:dyDescent="0.35">
      <c r="G490" s="10"/>
      <c r="J490" s="8"/>
      <c r="K490" s="2" t="str">
        <f t="shared" si="29"/>
        <v/>
      </c>
      <c r="L490" s="3" t="str">
        <f t="shared" si="30"/>
        <v/>
      </c>
      <c r="M490" s="2" t="str">
        <f t="shared" si="31"/>
        <v/>
      </c>
      <c r="N490" t="str">
        <f t="shared" si="32"/>
        <v/>
      </c>
    </row>
    <row r="491" spans="7:14" ht="15.6" thickBot="1" x14ac:dyDescent="0.35">
      <c r="G491" s="10"/>
      <c r="J491" s="8"/>
      <c r="K491" s="2" t="str">
        <f t="shared" si="29"/>
        <v/>
      </c>
      <c r="L491" s="3" t="str">
        <f t="shared" si="30"/>
        <v/>
      </c>
      <c r="M491" s="2" t="str">
        <f t="shared" si="31"/>
        <v/>
      </c>
      <c r="N491" t="str">
        <f t="shared" si="32"/>
        <v/>
      </c>
    </row>
    <row r="492" spans="7:14" ht="15.6" thickBot="1" x14ac:dyDescent="0.35">
      <c r="G492" s="10"/>
      <c r="J492" s="8"/>
      <c r="K492" s="2" t="str">
        <f t="shared" si="29"/>
        <v/>
      </c>
      <c r="L492" s="3" t="str">
        <f t="shared" si="30"/>
        <v/>
      </c>
      <c r="M492" s="2" t="str">
        <f t="shared" si="31"/>
        <v/>
      </c>
      <c r="N492" t="str">
        <f t="shared" si="32"/>
        <v/>
      </c>
    </row>
    <row r="493" spans="7:14" ht="15.6" thickBot="1" x14ac:dyDescent="0.35">
      <c r="G493" s="10"/>
      <c r="J493" s="8"/>
      <c r="K493" s="2" t="str">
        <f t="shared" si="29"/>
        <v/>
      </c>
      <c r="L493" s="3" t="str">
        <f t="shared" si="30"/>
        <v/>
      </c>
      <c r="M493" s="2" t="str">
        <f t="shared" si="31"/>
        <v/>
      </c>
      <c r="N493" t="str">
        <f t="shared" si="32"/>
        <v/>
      </c>
    </row>
    <row r="494" spans="7:14" ht="15.6" thickBot="1" x14ac:dyDescent="0.35">
      <c r="G494" s="10"/>
      <c r="J494" s="8"/>
      <c r="K494" s="2" t="str">
        <f t="shared" si="29"/>
        <v/>
      </c>
      <c r="L494" s="3" t="str">
        <f t="shared" si="30"/>
        <v/>
      </c>
      <c r="M494" s="2" t="str">
        <f t="shared" si="31"/>
        <v/>
      </c>
      <c r="N494" t="str">
        <f t="shared" si="32"/>
        <v/>
      </c>
    </row>
    <row r="495" spans="7:14" ht="15.6" thickBot="1" x14ac:dyDescent="0.35">
      <c r="G495" s="10"/>
      <c r="J495" s="8"/>
      <c r="K495" s="2" t="str">
        <f t="shared" si="29"/>
        <v/>
      </c>
      <c r="L495" s="3" t="str">
        <f t="shared" si="30"/>
        <v/>
      </c>
      <c r="M495" s="2" t="str">
        <f t="shared" si="31"/>
        <v/>
      </c>
      <c r="N495" t="str">
        <f t="shared" si="32"/>
        <v/>
      </c>
    </row>
    <row r="496" spans="7:14" ht="15.6" thickBot="1" x14ac:dyDescent="0.35">
      <c r="G496" s="10"/>
      <c r="J496" s="8"/>
      <c r="K496" s="2" t="str">
        <f t="shared" si="29"/>
        <v/>
      </c>
      <c r="L496" s="3" t="str">
        <f t="shared" si="30"/>
        <v/>
      </c>
      <c r="M496" s="2" t="str">
        <f t="shared" si="31"/>
        <v/>
      </c>
      <c r="N496" t="str">
        <f t="shared" si="32"/>
        <v/>
      </c>
    </row>
    <row r="497" spans="7:14" ht="15.6" thickBot="1" x14ac:dyDescent="0.35">
      <c r="G497" s="10"/>
      <c r="J497" s="8"/>
      <c r="K497" s="2" t="str">
        <f t="shared" si="29"/>
        <v/>
      </c>
      <c r="L497" s="3" t="str">
        <f t="shared" si="30"/>
        <v/>
      </c>
      <c r="M497" s="2" t="str">
        <f t="shared" si="31"/>
        <v/>
      </c>
      <c r="N497" t="str">
        <f t="shared" si="32"/>
        <v/>
      </c>
    </row>
    <row r="498" spans="7:14" ht="15.6" thickBot="1" x14ac:dyDescent="0.35">
      <c r="G498" s="10"/>
      <c r="J498" s="8"/>
      <c r="K498" s="2" t="str">
        <f t="shared" si="29"/>
        <v/>
      </c>
      <c r="L498" s="3" t="str">
        <f t="shared" si="30"/>
        <v/>
      </c>
      <c r="M498" s="2" t="str">
        <f t="shared" si="31"/>
        <v/>
      </c>
      <c r="N498" t="str">
        <f t="shared" si="32"/>
        <v/>
      </c>
    </row>
    <row r="499" spans="7:14" ht="15.6" thickBot="1" x14ac:dyDescent="0.35">
      <c r="G499" s="10"/>
      <c r="J499" s="8"/>
      <c r="K499" s="2" t="str">
        <f t="shared" si="29"/>
        <v/>
      </c>
      <c r="L499" s="3" t="str">
        <f t="shared" si="30"/>
        <v/>
      </c>
      <c r="M499" s="2" t="str">
        <f t="shared" si="31"/>
        <v/>
      </c>
      <c r="N499" t="str">
        <f t="shared" si="32"/>
        <v/>
      </c>
    </row>
    <row r="500" spans="7:14" ht="15.6" thickBot="1" x14ac:dyDescent="0.35">
      <c r="G500" s="10"/>
      <c r="J500" s="8"/>
      <c r="K500" s="2" t="str">
        <f t="shared" si="29"/>
        <v/>
      </c>
      <c r="L500" s="3" t="str">
        <f t="shared" si="30"/>
        <v/>
      </c>
      <c r="M500" s="2" t="str">
        <f t="shared" si="31"/>
        <v/>
      </c>
      <c r="N500" t="str">
        <f t="shared" si="32"/>
        <v/>
      </c>
    </row>
    <row r="501" spans="7:14" ht="15.6" thickBot="1" x14ac:dyDescent="0.35">
      <c r="G501" s="10"/>
      <c r="J501" s="8"/>
      <c r="K501" s="2" t="str">
        <f t="shared" si="29"/>
        <v/>
      </c>
      <c r="L501" s="3" t="str">
        <f t="shared" si="30"/>
        <v/>
      </c>
      <c r="M501" s="2" t="str">
        <f t="shared" si="31"/>
        <v/>
      </c>
      <c r="N501" t="str">
        <f t="shared" si="32"/>
        <v/>
      </c>
    </row>
    <row r="502" spans="7:14" ht="15.6" thickBot="1" x14ac:dyDescent="0.35">
      <c r="G502" s="10"/>
      <c r="J502" s="8"/>
      <c r="K502" s="2" t="str">
        <f t="shared" si="29"/>
        <v/>
      </c>
      <c r="L502" s="3" t="str">
        <f t="shared" si="30"/>
        <v/>
      </c>
      <c r="M502" s="2" t="str">
        <f t="shared" si="31"/>
        <v/>
      </c>
      <c r="N502" t="str">
        <f t="shared" si="32"/>
        <v/>
      </c>
    </row>
    <row r="503" spans="7:14" ht="15.6" thickBot="1" x14ac:dyDescent="0.35">
      <c r="G503" s="10"/>
      <c r="J503" s="8"/>
      <c r="K503" s="2" t="str">
        <f t="shared" si="29"/>
        <v/>
      </c>
      <c r="L503" s="3" t="str">
        <f t="shared" si="30"/>
        <v/>
      </c>
      <c r="M503" s="2" t="str">
        <f t="shared" si="31"/>
        <v/>
      </c>
      <c r="N503" t="str">
        <f t="shared" si="32"/>
        <v/>
      </c>
    </row>
    <row r="504" spans="7:14" ht="15.6" thickBot="1" x14ac:dyDescent="0.35">
      <c r="G504" s="10"/>
      <c r="J504" s="8"/>
      <c r="K504" s="2" t="str">
        <f t="shared" si="29"/>
        <v/>
      </c>
      <c r="L504" s="3" t="str">
        <f t="shared" si="30"/>
        <v/>
      </c>
      <c r="M504" s="2" t="str">
        <f t="shared" si="31"/>
        <v/>
      </c>
      <c r="N504" t="str">
        <f t="shared" si="32"/>
        <v/>
      </c>
    </row>
    <row r="505" spans="7:14" ht="15.6" thickBot="1" x14ac:dyDescent="0.35">
      <c r="G505" s="10"/>
      <c r="J505" s="8"/>
      <c r="K505" s="2" t="str">
        <f t="shared" si="29"/>
        <v/>
      </c>
      <c r="L505" s="3" t="str">
        <f t="shared" si="30"/>
        <v/>
      </c>
      <c r="M505" s="2" t="str">
        <f t="shared" si="31"/>
        <v/>
      </c>
      <c r="N505" t="str">
        <f t="shared" si="32"/>
        <v/>
      </c>
    </row>
    <row r="506" spans="7:14" ht="15.6" thickBot="1" x14ac:dyDescent="0.35">
      <c r="G506" s="10"/>
      <c r="J506" s="8"/>
      <c r="K506" s="2" t="str">
        <f t="shared" si="29"/>
        <v/>
      </c>
      <c r="L506" s="3" t="str">
        <f t="shared" si="30"/>
        <v/>
      </c>
      <c r="M506" s="2" t="str">
        <f t="shared" si="31"/>
        <v/>
      </c>
      <c r="N506" t="str">
        <f t="shared" si="32"/>
        <v/>
      </c>
    </row>
    <row r="507" spans="7:14" ht="15.6" thickBot="1" x14ac:dyDescent="0.35">
      <c r="G507" s="10"/>
      <c r="J507" s="8"/>
      <c r="K507" s="2" t="str">
        <f t="shared" si="29"/>
        <v/>
      </c>
      <c r="L507" s="3" t="str">
        <f t="shared" si="30"/>
        <v/>
      </c>
      <c r="M507" s="2" t="str">
        <f t="shared" si="31"/>
        <v/>
      </c>
      <c r="N507" t="str">
        <f t="shared" si="32"/>
        <v/>
      </c>
    </row>
    <row r="508" spans="7:14" ht="15.6" thickBot="1" x14ac:dyDescent="0.35">
      <c r="G508" s="10"/>
      <c r="J508" s="8"/>
      <c r="K508" s="2" t="str">
        <f t="shared" si="29"/>
        <v/>
      </c>
      <c r="L508" s="3" t="str">
        <f t="shared" si="30"/>
        <v/>
      </c>
      <c r="M508" s="2" t="str">
        <f t="shared" si="31"/>
        <v/>
      </c>
      <c r="N508" t="str">
        <f t="shared" si="32"/>
        <v/>
      </c>
    </row>
    <row r="509" spans="7:14" ht="15.6" thickBot="1" x14ac:dyDescent="0.35">
      <c r="G509" s="10"/>
      <c r="J509" s="8"/>
      <c r="K509" s="2" t="str">
        <f t="shared" si="29"/>
        <v/>
      </c>
      <c r="L509" s="3" t="str">
        <f t="shared" si="30"/>
        <v/>
      </c>
      <c r="M509" s="2" t="str">
        <f t="shared" si="31"/>
        <v/>
      </c>
      <c r="N509" t="str">
        <f t="shared" si="32"/>
        <v/>
      </c>
    </row>
    <row r="510" spans="7:14" ht="15.6" thickBot="1" x14ac:dyDescent="0.35">
      <c r="G510" s="10"/>
      <c r="J510" s="8"/>
      <c r="K510" s="2" t="str">
        <f t="shared" si="29"/>
        <v/>
      </c>
      <c r="L510" s="3" t="str">
        <f t="shared" si="30"/>
        <v/>
      </c>
      <c r="M510" s="2" t="str">
        <f t="shared" si="31"/>
        <v/>
      </c>
      <c r="N510" t="str">
        <f t="shared" si="32"/>
        <v/>
      </c>
    </row>
    <row r="511" spans="7:14" ht="15.6" thickBot="1" x14ac:dyDescent="0.35">
      <c r="G511" s="10"/>
      <c r="J511" s="8"/>
      <c r="K511" s="2" t="str">
        <f t="shared" si="29"/>
        <v/>
      </c>
      <c r="L511" s="3" t="str">
        <f t="shared" si="30"/>
        <v/>
      </c>
      <c r="M511" s="2" t="str">
        <f t="shared" si="31"/>
        <v/>
      </c>
      <c r="N511" t="str">
        <f t="shared" si="32"/>
        <v/>
      </c>
    </row>
    <row r="512" spans="7:14" ht="15.6" thickBot="1" x14ac:dyDescent="0.35">
      <c r="G512" s="10"/>
      <c r="J512" s="8"/>
      <c r="K512" s="2" t="str">
        <f t="shared" si="29"/>
        <v/>
      </c>
      <c r="L512" s="3" t="str">
        <f t="shared" si="30"/>
        <v/>
      </c>
      <c r="M512" s="2" t="str">
        <f t="shared" si="31"/>
        <v/>
      </c>
      <c r="N512" t="str">
        <f t="shared" si="32"/>
        <v/>
      </c>
    </row>
    <row r="513" spans="7:14" ht="15.6" thickBot="1" x14ac:dyDescent="0.35">
      <c r="G513" s="10"/>
      <c r="J513" s="8"/>
      <c r="K513" s="2" t="str">
        <f t="shared" si="29"/>
        <v/>
      </c>
      <c r="L513" s="3" t="str">
        <f t="shared" si="30"/>
        <v/>
      </c>
      <c r="M513" s="2" t="str">
        <f t="shared" si="31"/>
        <v/>
      </c>
      <c r="N513" t="str">
        <f t="shared" si="32"/>
        <v/>
      </c>
    </row>
    <row r="514" spans="7:14" ht="15.6" thickBot="1" x14ac:dyDescent="0.35">
      <c r="G514" s="10"/>
      <c r="J514" s="8"/>
      <c r="K514" s="2" t="str">
        <f t="shared" si="29"/>
        <v/>
      </c>
      <c r="L514" s="3" t="str">
        <f t="shared" si="30"/>
        <v/>
      </c>
      <c r="M514" s="2" t="str">
        <f t="shared" si="31"/>
        <v/>
      </c>
      <c r="N514" t="str">
        <f t="shared" si="32"/>
        <v/>
      </c>
    </row>
    <row r="515" spans="7:14" ht="15.6" thickBot="1" x14ac:dyDescent="0.35">
      <c r="G515" s="10"/>
      <c r="J515" s="8"/>
      <c r="K515" s="2" t="str">
        <f t="shared" si="29"/>
        <v/>
      </c>
      <c r="L515" s="3" t="str">
        <f t="shared" si="30"/>
        <v/>
      </c>
      <c r="M515" s="2" t="str">
        <f t="shared" si="31"/>
        <v/>
      </c>
      <c r="N515" t="str">
        <f t="shared" si="32"/>
        <v/>
      </c>
    </row>
    <row r="516" spans="7:14" ht="15.6" thickBot="1" x14ac:dyDescent="0.35">
      <c r="G516" s="10"/>
      <c r="J516" s="8"/>
      <c r="K516" s="2" t="str">
        <f t="shared" si="29"/>
        <v/>
      </c>
      <c r="L516" s="3" t="str">
        <f t="shared" si="30"/>
        <v/>
      </c>
      <c r="M516" s="2" t="str">
        <f t="shared" si="31"/>
        <v/>
      </c>
      <c r="N516" t="str">
        <f t="shared" si="32"/>
        <v/>
      </c>
    </row>
    <row r="517" spans="7:14" ht="15.6" thickBot="1" x14ac:dyDescent="0.35">
      <c r="G517" s="10"/>
      <c r="J517" s="8"/>
      <c r="K517" s="2" t="str">
        <f t="shared" ref="K517:K580" si="33">SUBSTITUTE(I517,CHAR(10),"&lt;br&gt;")</f>
        <v/>
      </c>
      <c r="L517" s="3" t="str">
        <f t="shared" ref="L517:L580" si="34">IF(B517="","","{"&amp;$M$1&amp;"no"&amp;$M$1&amp;":"&amp;$M$1&amp;""&amp;B517&amp;""&amp;$M$1&amp;","&amp;$M$1&amp;"name"&amp;$M$1&amp;":"&amp;$M$1&amp;""&amp;C517&amp;""&amp;$M$1&amp;","&amp;$M$1&amp;"category"&amp;$M$1&amp;":"&amp;$M$1&amp;""&amp;D517&amp;""&amp;$M$1&amp;","&amp;$M$1&amp;"price"&amp;$M$1&amp;":"&amp;E517&amp;","&amp;$M$1&amp;"quantity"&amp;$M$1&amp;":"&amp;F517&amp;","&amp;$M$1&amp;"discount"&amp;$M$1&amp;":"&amp;G517*100&amp;","&amp;$M$1&amp;"images"&amp;$M$1&amp;":"&amp;$M$1&amp;""&amp;H517&amp;""&amp;$M$1&amp;","&amp;$M$1&amp;"description"&amp;$M$1&amp;":"&amp;$M$1&amp;""&amp;K517&amp;""&amp;$M$1&amp;"}")</f>
        <v/>
      </c>
      <c r="M517" s="2" t="str">
        <f t="shared" ref="M517:M580" si="35">IF(L518="","",",")</f>
        <v/>
      </c>
      <c r="N517" t="str">
        <f t="shared" si="32"/>
        <v/>
      </c>
    </row>
    <row r="518" spans="7:14" ht="15.6" thickBot="1" x14ac:dyDescent="0.35">
      <c r="G518" s="10"/>
      <c r="J518" s="8"/>
      <c r="K518" s="2" t="str">
        <f t="shared" si="33"/>
        <v/>
      </c>
      <c r="L518" s="3" t="str">
        <f t="shared" si="34"/>
        <v/>
      </c>
      <c r="M518" s="2" t="str">
        <f t="shared" si="35"/>
        <v/>
      </c>
      <c r="N518" t="str">
        <f t="shared" si="32"/>
        <v/>
      </c>
    </row>
    <row r="519" spans="7:14" ht="15.6" thickBot="1" x14ac:dyDescent="0.35">
      <c r="G519" s="10"/>
      <c r="J519" s="8"/>
      <c r="K519" s="2" t="str">
        <f t="shared" si="33"/>
        <v/>
      </c>
      <c r="L519" s="3" t="str">
        <f t="shared" si="34"/>
        <v/>
      </c>
      <c r="M519" s="2" t="str">
        <f t="shared" si="35"/>
        <v/>
      </c>
      <c r="N519" t="str">
        <f t="shared" si="32"/>
        <v/>
      </c>
    </row>
    <row r="520" spans="7:14" ht="15.6" thickBot="1" x14ac:dyDescent="0.35">
      <c r="G520" s="10"/>
      <c r="J520" s="8"/>
      <c r="K520" s="2" t="str">
        <f t="shared" si="33"/>
        <v/>
      </c>
      <c r="L520" s="3" t="str">
        <f t="shared" si="34"/>
        <v/>
      </c>
      <c r="M520" s="2" t="str">
        <f t="shared" si="35"/>
        <v/>
      </c>
      <c r="N520" t="str">
        <f t="shared" si="32"/>
        <v/>
      </c>
    </row>
    <row r="521" spans="7:14" ht="15.6" thickBot="1" x14ac:dyDescent="0.35">
      <c r="G521" s="10"/>
      <c r="J521" s="8"/>
      <c r="K521" s="2" t="str">
        <f t="shared" si="33"/>
        <v/>
      </c>
      <c r="L521" s="3" t="str">
        <f t="shared" si="34"/>
        <v/>
      </c>
      <c r="M521" s="2" t="str">
        <f t="shared" si="35"/>
        <v/>
      </c>
      <c r="N521" t="str">
        <f t="shared" ref="N521:N584" si="36">_xlfn.CONCAT(L521,M521)</f>
        <v/>
      </c>
    </row>
    <row r="522" spans="7:14" ht="15.6" thickBot="1" x14ac:dyDescent="0.35">
      <c r="G522" s="10"/>
      <c r="J522" s="8"/>
      <c r="K522" s="2" t="str">
        <f t="shared" si="33"/>
        <v/>
      </c>
      <c r="L522" s="3" t="str">
        <f t="shared" si="34"/>
        <v/>
      </c>
      <c r="M522" s="2" t="str">
        <f t="shared" si="35"/>
        <v/>
      </c>
      <c r="N522" t="str">
        <f t="shared" si="36"/>
        <v/>
      </c>
    </row>
    <row r="523" spans="7:14" ht="15.6" thickBot="1" x14ac:dyDescent="0.35">
      <c r="G523" s="10"/>
      <c r="J523" s="8"/>
      <c r="K523" s="2" t="str">
        <f t="shared" si="33"/>
        <v/>
      </c>
      <c r="L523" s="3" t="str">
        <f t="shared" si="34"/>
        <v/>
      </c>
      <c r="M523" s="2" t="str">
        <f t="shared" si="35"/>
        <v/>
      </c>
      <c r="N523" t="str">
        <f t="shared" si="36"/>
        <v/>
      </c>
    </row>
    <row r="524" spans="7:14" ht="15.6" thickBot="1" x14ac:dyDescent="0.35">
      <c r="G524" s="10"/>
      <c r="J524" s="8"/>
      <c r="K524" s="2" t="str">
        <f t="shared" si="33"/>
        <v/>
      </c>
      <c r="L524" s="3" t="str">
        <f t="shared" si="34"/>
        <v/>
      </c>
      <c r="M524" s="2" t="str">
        <f t="shared" si="35"/>
        <v/>
      </c>
      <c r="N524" t="str">
        <f t="shared" si="36"/>
        <v/>
      </c>
    </row>
    <row r="525" spans="7:14" ht="15.6" thickBot="1" x14ac:dyDescent="0.35">
      <c r="G525" s="10"/>
      <c r="J525" s="8"/>
      <c r="K525" s="2" t="str">
        <f t="shared" si="33"/>
        <v/>
      </c>
      <c r="L525" s="3" t="str">
        <f t="shared" si="34"/>
        <v/>
      </c>
      <c r="M525" s="2" t="str">
        <f t="shared" si="35"/>
        <v/>
      </c>
      <c r="N525" t="str">
        <f t="shared" si="36"/>
        <v/>
      </c>
    </row>
    <row r="526" spans="7:14" ht="15.6" thickBot="1" x14ac:dyDescent="0.35">
      <c r="G526" s="10"/>
      <c r="J526" s="8"/>
      <c r="K526" s="2" t="str">
        <f t="shared" si="33"/>
        <v/>
      </c>
      <c r="L526" s="3" t="str">
        <f t="shared" si="34"/>
        <v/>
      </c>
      <c r="M526" s="2" t="str">
        <f t="shared" si="35"/>
        <v/>
      </c>
      <c r="N526" t="str">
        <f t="shared" si="36"/>
        <v/>
      </c>
    </row>
    <row r="527" spans="7:14" ht="15.6" thickBot="1" x14ac:dyDescent="0.35">
      <c r="G527" s="10"/>
      <c r="J527" s="8"/>
      <c r="K527" s="2" t="str">
        <f t="shared" si="33"/>
        <v/>
      </c>
      <c r="L527" s="3" t="str">
        <f t="shared" si="34"/>
        <v/>
      </c>
      <c r="M527" s="2" t="str">
        <f t="shared" si="35"/>
        <v/>
      </c>
      <c r="N527" t="str">
        <f t="shared" si="36"/>
        <v/>
      </c>
    </row>
    <row r="528" spans="7:14" ht="15.6" thickBot="1" x14ac:dyDescent="0.35">
      <c r="G528" s="10"/>
      <c r="J528" s="8"/>
      <c r="K528" s="2" t="str">
        <f t="shared" si="33"/>
        <v/>
      </c>
      <c r="L528" s="3" t="str">
        <f t="shared" si="34"/>
        <v/>
      </c>
      <c r="M528" s="2" t="str">
        <f t="shared" si="35"/>
        <v/>
      </c>
      <c r="N528" t="str">
        <f t="shared" si="36"/>
        <v/>
      </c>
    </row>
    <row r="529" spans="7:14" ht="15.6" thickBot="1" x14ac:dyDescent="0.35">
      <c r="G529" s="10"/>
      <c r="J529" s="8"/>
      <c r="K529" s="2" t="str">
        <f t="shared" si="33"/>
        <v/>
      </c>
      <c r="L529" s="3" t="str">
        <f t="shared" si="34"/>
        <v/>
      </c>
      <c r="M529" s="2" t="str">
        <f t="shared" si="35"/>
        <v/>
      </c>
      <c r="N529" t="str">
        <f t="shared" si="36"/>
        <v/>
      </c>
    </row>
    <row r="530" spans="7:14" ht="15.6" thickBot="1" x14ac:dyDescent="0.35">
      <c r="G530" s="10"/>
      <c r="J530" s="8"/>
      <c r="K530" s="2" t="str">
        <f t="shared" si="33"/>
        <v/>
      </c>
      <c r="L530" s="3" t="str">
        <f t="shared" si="34"/>
        <v/>
      </c>
      <c r="M530" s="2" t="str">
        <f t="shared" si="35"/>
        <v/>
      </c>
      <c r="N530" t="str">
        <f t="shared" si="36"/>
        <v/>
      </c>
    </row>
    <row r="531" spans="7:14" ht="15.6" thickBot="1" x14ac:dyDescent="0.35">
      <c r="G531" s="10"/>
      <c r="J531" s="8"/>
      <c r="K531" s="2" t="str">
        <f t="shared" si="33"/>
        <v/>
      </c>
      <c r="L531" s="3" t="str">
        <f t="shared" si="34"/>
        <v/>
      </c>
      <c r="M531" s="2" t="str">
        <f t="shared" si="35"/>
        <v/>
      </c>
      <c r="N531" t="str">
        <f t="shared" si="36"/>
        <v/>
      </c>
    </row>
    <row r="532" spans="7:14" ht="15.6" thickBot="1" x14ac:dyDescent="0.35">
      <c r="G532" s="10"/>
      <c r="J532" s="8"/>
      <c r="K532" s="2" t="str">
        <f t="shared" si="33"/>
        <v/>
      </c>
      <c r="L532" s="3" t="str">
        <f t="shared" si="34"/>
        <v/>
      </c>
      <c r="M532" s="2" t="str">
        <f t="shared" si="35"/>
        <v/>
      </c>
      <c r="N532" t="str">
        <f t="shared" si="36"/>
        <v/>
      </c>
    </row>
    <row r="533" spans="7:14" ht="15.6" thickBot="1" x14ac:dyDescent="0.35">
      <c r="G533" s="10"/>
      <c r="J533" s="8"/>
      <c r="K533" s="2" t="str">
        <f t="shared" si="33"/>
        <v/>
      </c>
      <c r="L533" s="3" t="str">
        <f t="shared" si="34"/>
        <v/>
      </c>
      <c r="M533" s="2" t="str">
        <f t="shared" si="35"/>
        <v/>
      </c>
      <c r="N533" t="str">
        <f t="shared" si="36"/>
        <v/>
      </c>
    </row>
    <row r="534" spans="7:14" ht="15.6" thickBot="1" x14ac:dyDescent="0.35">
      <c r="G534" s="10"/>
      <c r="J534" s="8"/>
      <c r="K534" s="2" t="str">
        <f t="shared" si="33"/>
        <v/>
      </c>
      <c r="L534" s="3" t="str">
        <f t="shared" si="34"/>
        <v/>
      </c>
      <c r="M534" s="2" t="str">
        <f t="shared" si="35"/>
        <v/>
      </c>
      <c r="N534" t="str">
        <f t="shared" si="36"/>
        <v/>
      </c>
    </row>
    <row r="535" spans="7:14" ht="15.6" thickBot="1" x14ac:dyDescent="0.35">
      <c r="G535" s="10"/>
      <c r="J535" s="8"/>
      <c r="K535" s="2" t="str">
        <f t="shared" si="33"/>
        <v/>
      </c>
      <c r="L535" s="3" t="str">
        <f t="shared" si="34"/>
        <v/>
      </c>
      <c r="M535" s="2" t="str">
        <f t="shared" si="35"/>
        <v/>
      </c>
      <c r="N535" t="str">
        <f t="shared" si="36"/>
        <v/>
      </c>
    </row>
    <row r="536" spans="7:14" ht="15.6" thickBot="1" x14ac:dyDescent="0.35">
      <c r="G536" s="10"/>
      <c r="J536" s="8"/>
      <c r="K536" s="2" t="str">
        <f t="shared" si="33"/>
        <v/>
      </c>
      <c r="L536" s="3" t="str">
        <f t="shared" si="34"/>
        <v/>
      </c>
      <c r="M536" s="2" t="str">
        <f t="shared" si="35"/>
        <v/>
      </c>
      <c r="N536" t="str">
        <f t="shared" si="36"/>
        <v/>
      </c>
    </row>
    <row r="537" spans="7:14" ht="15.6" thickBot="1" x14ac:dyDescent="0.35">
      <c r="G537" s="10"/>
      <c r="J537" s="8"/>
      <c r="K537" s="2" t="str">
        <f t="shared" si="33"/>
        <v/>
      </c>
      <c r="L537" s="3" t="str">
        <f t="shared" si="34"/>
        <v/>
      </c>
      <c r="M537" s="2" t="str">
        <f t="shared" si="35"/>
        <v/>
      </c>
      <c r="N537" t="str">
        <f t="shared" si="36"/>
        <v/>
      </c>
    </row>
    <row r="538" spans="7:14" ht="15.6" thickBot="1" x14ac:dyDescent="0.35">
      <c r="G538" s="10"/>
      <c r="J538" s="8"/>
      <c r="K538" s="2" t="str">
        <f t="shared" si="33"/>
        <v/>
      </c>
      <c r="L538" s="3" t="str">
        <f t="shared" si="34"/>
        <v/>
      </c>
      <c r="M538" s="2" t="str">
        <f t="shared" si="35"/>
        <v/>
      </c>
      <c r="N538" t="str">
        <f t="shared" si="36"/>
        <v/>
      </c>
    </row>
    <row r="539" spans="7:14" ht="15.6" thickBot="1" x14ac:dyDescent="0.35">
      <c r="G539" s="10"/>
      <c r="J539" s="8"/>
      <c r="K539" s="2" t="str">
        <f t="shared" si="33"/>
        <v/>
      </c>
      <c r="L539" s="3" t="str">
        <f t="shared" si="34"/>
        <v/>
      </c>
      <c r="M539" s="2" t="str">
        <f t="shared" si="35"/>
        <v/>
      </c>
      <c r="N539" t="str">
        <f t="shared" si="36"/>
        <v/>
      </c>
    </row>
    <row r="540" spans="7:14" ht="15.6" thickBot="1" x14ac:dyDescent="0.35">
      <c r="G540" s="10"/>
      <c r="J540" s="8"/>
      <c r="K540" s="2" t="str">
        <f t="shared" si="33"/>
        <v/>
      </c>
      <c r="L540" s="3" t="str">
        <f t="shared" si="34"/>
        <v/>
      </c>
      <c r="M540" s="2" t="str">
        <f t="shared" si="35"/>
        <v/>
      </c>
      <c r="N540" t="str">
        <f t="shared" si="36"/>
        <v/>
      </c>
    </row>
    <row r="541" spans="7:14" ht="15.6" thickBot="1" x14ac:dyDescent="0.35">
      <c r="G541" s="10"/>
      <c r="J541" s="8"/>
      <c r="K541" s="2" t="str">
        <f t="shared" si="33"/>
        <v/>
      </c>
      <c r="L541" s="3" t="str">
        <f t="shared" si="34"/>
        <v/>
      </c>
      <c r="M541" s="2" t="str">
        <f t="shared" si="35"/>
        <v/>
      </c>
      <c r="N541" t="str">
        <f t="shared" si="36"/>
        <v/>
      </c>
    </row>
    <row r="542" spans="7:14" ht="15.6" thickBot="1" x14ac:dyDescent="0.35">
      <c r="G542" s="10"/>
      <c r="J542" s="8"/>
      <c r="K542" s="2" t="str">
        <f t="shared" si="33"/>
        <v/>
      </c>
      <c r="L542" s="3" t="str">
        <f t="shared" si="34"/>
        <v/>
      </c>
      <c r="M542" s="2" t="str">
        <f t="shared" si="35"/>
        <v/>
      </c>
      <c r="N542" t="str">
        <f t="shared" si="36"/>
        <v/>
      </c>
    </row>
    <row r="543" spans="7:14" ht="15.6" thickBot="1" x14ac:dyDescent="0.35">
      <c r="G543" s="10"/>
      <c r="J543" s="8"/>
      <c r="K543" s="2" t="str">
        <f t="shared" si="33"/>
        <v/>
      </c>
      <c r="L543" s="3" t="str">
        <f t="shared" si="34"/>
        <v/>
      </c>
      <c r="M543" s="2" t="str">
        <f t="shared" si="35"/>
        <v/>
      </c>
      <c r="N543" t="str">
        <f t="shared" si="36"/>
        <v/>
      </c>
    </row>
    <row r="544" spans="7:14" ht="15.6" thickBot="1" x14ac:dyDescent="0.35">
      <c r="G544" s="10"/>
      <c r="J544" s="8"/>
      <c r="K544" s="2" t="str">
        <f t="shared" si="33"/>
        <v/>
      </c>
      <c r="L544" s="3" t="str">
        <f t="shared" si="34"/>
        <v/>
      </c>
      <c r="M544" s="2" t="str">
        <f t="shared" si="35"/>
        <v/>
      </c>
      <c r="N544" t="str">
        <f t="shared" si="36"/>
        <v/>
      </c>
    </row>
    <row r="545" spans="7:14" ht="15.6" thickBot="1" x14ac:dyDescent="0.35">
      <c r="G545" s="10"/>
      <c r="J545" s="8"/>
      <c r="K545" s="2" t="str">
        <f t="shared" si="33"/>
        <v/>
      </c>
      <c r="L545" s="3" t="str">
        <f t="shared" si="34"/>
        <v/>
      </c>
      <c r="M545" s="2" t="str">
        <f t="shared" si="35"/>
        <v/>
      </c>
      <c r="N545" t="str">
        <f t="shared" si="36"/>
        <v/>
      </c>
    </row>
    <row r="546" spans="7:14" ht="15.6" thickBot="1" x14ac:dyDescent="0.35">
      <c r="G546" s="10"/>
      <c r="J546" s="8"/>
      <c r="K546" s="2" t="str">
        <f t="shared" si="33"/>
        <v/>
      </c>
      <c r="L546" s="3" t="str">
        <f t="shared" si="34"/>
        <v/>
      </c>
      <c r="M546" s="2" t="str">
        <f t="shared" si="35"/>
        <v/>
      </c>
      <c r="N546" t="str">
        <f t="shared" si="36"/>
        <v/>
      </c>
    </row>
    <row r="547" spans="7:14" ht="15.6" thickBot="1" x14ac:dyDescent="0.35">
      <c r="G547" s="10"/>
      <c r="J547" s="8"/>
      <c r="K547" s="2" t="str">
        <f t="shared" si="33"/>
        <v/>
      </c>
      <c r="L547" s="3" t="str">
        <f t="shared" si="34"/>
        <v/>
      </c>
      <c r="M547" s="2" t="str">
        <f t="shared" si="35"/>
        <v/>
      </c>
      <c r="N547" t="str">
        <f t="shared" si="36"/>
        <v/>
      </c>
    </row>
    <row r="548" spans="7:14" ht="15.6" thickBot="1" x14ac:dyDescent="0.35">
      <c r="G548" s="10"/>
      <c r="J548" s="8"/>
      <c r="K548" s="2" t="str">
        <f t="shared" si="33"/>
        <v/>
      </c>
      <c r="L548" s="3" t="str">
        <f t="shared" si="34"/>
        <v/>
      </c>
      <c r="M548" s="2" t="str">
        <f t="shared" si="35"/>
        <v/>
      </c>
      <c r="N548" t="str">
        <f t="shared" si="36"/>
        <v/>
      </c>
    </row>
    <row r="549" spans="7:14" ht="15.6" thickBot="1" x14ac:dyDescent="0.35">
      <c r="G549" s="10"/>
      <c r="J549" s="8"/>
      <c r="K549" s="2" t="str">
        <f t="shared" si="33"/>
        <v/>
      </c>
      <c r="L549" s="3" t="str">
        <f t="shared" si="34"/>
        <v/>
      </c>
      <c r="M549" s="2" t="str">
        <f t="shared" si="35"/>
        <v/>
      </c>
      <c r="N549" t="str">
        <f t="shared" si="36"/>
        <v/>
      </c>
    </row>
    <row r="550" spans="7:14" ht="15.6" thickBot="1" x14ac:dyDescent="0.35">
      <c r="G550" s="10"/>
      <c r="J550" s="8"/>
      <c r="K550" s="2" t="str">
        <f t="shared" si="33"/>
        <v/>
      </c>
      <c r="L550" s="3" t="str">
        <f t="shared" si="34"/>
        <v/>
      </c>
      <c r="M550" s="2" t="str">
        <f t="shared" si="35"/>
        <v/>
      </c>
      <c r="N550" t="str">
        <f t="shared" si="36"/>
        <v/>
      </c>
    </row>
    <row r="551" spans="7:14" ht="15.6" thickBot="1" x14ac:dyDescent="0.35">
      <c r="G551" s="10"/>
      <c r="J551" s="8"/>
      <c r="K551" s="2" t="str">
        <f t="shared" si="33"/>
        <v/>
      </c>
      <c r="L551" s="3" t="str">
        <f t="shared" si="34"/>
        <v/>
      </c>
      <c r="M551" s="2" t="str">
        <f t="shared" si="35"/>
        <v/>
      </c>
      <c r="N551" t="str">
        <f t="shared" si="36"/>
        <v/>
      </c>
    </row>
    <row r="552" spans="7:14" ht="15.6" thickBot="1" x14ac:dyDescent="0.35">
      <c r="G552" s="10"/>
      <c r="J552" s="8"/>
      <c r="K552" s="2" t="str">
        <f t="shared" si="33"/>
        <v/>
      </c>
      <c r="L552" s="3" t="str">
        <f t="shared" si="34"/>
        <v/>
      </c>
      <c r="M552" s="2" t="str">
        <f t="shared" si="35"/>
        <v/>
      </c>
      <c r="N552" t="str">
        <f t="shared" si="36"/>
        <v/>
      </c>
    </row>
    <row r="553" spans="7:14" ht="15.6" thickBot="1" x14ac:dyDescent="0.35">
      <c r="G553" s="10"/>
      <c r="J553" s="8"/>
      <c r="K553" s="2" t="str">
        <f t="shared" si="33"/>
        <v/>
      </c>
      <c r="L553" s="3" t="str">
        <f t="shared" si="34"/>
        <v/>
      </c>
      <c r="M553" s="2" t="str">
        <f t="shared" si="35"/>
        <v/>
      </c>
      <c r="N553" t="str">
        <f t="shared" si="36"/>
        <v/>
      </c>
    </row>
    <row r="554" spans="7:14" ht="15.6" thickBot="1" x14ac:dyDescent="0.35">
      <c r="G554" s="10"/>
      <c r="J554" s="8"/>
      <c r="K554" s="2" t="str">
        <f t="shared" si="33"/>
        <v/>
      </c>
      <c r="L554" s="3" t="str">
        <f t="shared" si="34"/>
        <v/>
      </c>
      <c r="M554" s="2" t="str">
        <f t="shared" si="35"/>
        <v/>
      </c>
      <c r="N554" t="str">
        <f t="shared" si="36"/>
        <v/>
      </c>
    </row>
    <row r="555" spans="7:14" ht="15.6" thickBot="1" x14ac:dyDescent="0.35">
      <c r="G555" s="10"/>
      <c r="J555" s="8"/>
      <c r="K555" s="2" t="str">
        <f t="shared" si="33"/>
        <v/>
      </c>
      <c r="L555" s="3" t="str">
        <f t="shared" si="34"/>
        <v/>
      </c>
      <c r="M555" s="2" t="str">
        <f t="shared" si="35"/>
        <v/>
      </c>
      <c r="N555" t="str">
        <f t="shared" si="36"/>
        <v/>
      </c>
    </row>
    <row r="556" spans="7:14" ht="15.6" thickBot="1" x14ac:dyDescent="0.35">
      <c r="G556" s="10"/>
      <c r="J556" s="8"/>
      <c r="K556" s="2" t="str">
        <f t="shared" si="33"/>
        <v/>
      </c>
      <c r="L556" s="3" t="str">
        <f t="shared" si="34"/>
        <v/>
      </c>
      <c r="M556" s="2" t="str">
        <f t="shared" si="35"/>
        <v/>
      </c>
      <c r="N556" t="str">
        <f t="shared" si="36"/>
        <v/>
      </c>
    </row>
    <row r="557" spans="7:14" ht="15.6" thickBot="1" x14ac:dyDescent="0.35">
      <c r="G557" s="10"/>
      <c r="J557" s="8"/>
      <c r="K557" s="2" t="str">
        <f t="shared" si="33"/>
        <v/>
      </c>
      <c r="L557" s="3" t="str">
        <f t="shared" si="34"/>
        <v/>
      </c>
      <c r="M557" s="2" t="str">
        <f t="shared" si="35"/>
        <v/>
      </c>
      <c r="N557" t="str">
        <f t="shared" si="36"/>
        <v/>
      </c>
    </row>
    <row r="558" spans="7:14" ht="15.6" thickBot="1" x14ac:dyDescent="0.35">
      <c r="G558" s="10"/>
      <c r="J558" s="8"/>
      <c r="K558" s="2" t="str">
        <f t="shared" si="33"/>
        <v/>
      </c>
      <c r="L558" s="3" t="str">
        <f t="shared" si="34"/>
        <v/>
      </c>
      <c r="M558" s="2" t="str">
        <f t="shared" si="35"/>
        <v/>
      </c>
      <c r="N558" t="str">
        <f t="shared" si="36"/>
        <v/>
      </c>
    </row>
    <row r="559" spans="7:14" ht="15.6" thickBot="1" x14ac:dyDescent="0.35">
      <c r="G559" s="10"/>
      <c r="J559" s="8"/>
      <c r="K559" s="2" t="str">
        <f t="shared" si="33"/>
        <v/>
      </c>
      <c r="L559" s="3" t="str">
        <f t="shared" si="34"/>
        <v/>
      </c>
      <c r="M559" s="2" t="str">
        <f t="shared" si="35"/>
        <v/>
      </c>
      <c r="N559" t="str">
        <f t="shared" si="36"/>
        <v/>
      </c>
    </row>
    <row r="560" spans="7:14" ht="15.6" thickBot="1" x14ac:dyDescent="0.35">
      <c r="G560" s="10"/>
      <c r="J560" s="8"/>
      <c r="K560" s="2" t="str">
        <f t="shared" si="33"/>
        <v/>
      </c>
      <c r="L560" s="3" t="str">
        <f t="shared" si="34"/>
        <v/>
      </c>
      <c r="M560" s="2" t="str">
        <f t="shared" si="35"/>
        <v/>
      </c>
      <c r="N560" t="str">
        <f t="shared" si="36"/>
        <v/>
      </c>
    </row>
    <row r="561" spans="7:14" ht="15.6" thickBot="1" x14ac:dyDescent="0.35">
      <c r="G561" s="10"/>
      <c r="J561" s="8"/>
      <c r="K561" s="2" t="str">
        <f t="shared" si="33"/>
        <v/>
      </c>
      <c r="L561" s="3" t="str">
        <f t="shared" si="34"/>
        <v/>
      </c>
      <c r="M561" s="2" t="str">
        <f t="shared" si="35"/>
        <v/>
      </c>
      <c r="N561" t="str">
        <f t="shared" si="36"/>
        <v/>
      </c>
    </row>
    <row r="562" spans="7:14" ht="15.6" thickBot="1" x14ac:dyDescent="0.35">
      <c r="G562" s="10"/>
      <c r="J562" s="8"/>
      <c r="K562" s="2" t="str">
        <f t="shared" si="33"/>
        <v/>
      </c>
      <c r="L562" s="3" t="str">
        <f t="shared" si="34"/>
        <v/>
      </c>
      <c r="M562" s="2" t="str">
        <f t="shared" si="35"/>
        <v/>
      </c>
      <c r="N562" t="str">
        <f t="shared" si="36"/>
        <v/>
      </c>
    </row>
    <row r="563" spans="7:14" ht="15.6" thickBot="1" x14ac:dyDescent="0.35">
      <c r="G563" s="10"/>
      <c r="J563" s="8"/>
      <c r="K563" s="2" t="str">
        <f t="shared" si="33"/>
        <v/>
      </c>
      <c r="L563" s="3" t="str">
        <f t="shared" si="34"/>
        <v/>
      </c>
      <c r="M563" s="2" t="str">
        <f t="shared" si="35"/>
        <v/>
      </c>
      <c r="N563" t="str">
        <f t="shared" si="36"/>
        <v/>
      </c>
    </row>
    <row r="564" spans="7:14" ht="15.6" thickBot="1" x14ac:dyDescent="0.35">
      <c r="G564" s="10"/>
      <c r="J564" s="8"/>
      <c r="K564" s="2" t="str">
        <f t="shared" si="33"/>
        <v/>
      </c>
      <c r="L564" s="3" t="str">
        <f t="shared" si="34"/>
        <v/>
      </c>
      <c r="M564" s="2" t="str">
        <f t="shared" si="35"/>
        <v/>
      </c>
      <c r="N564" t="str">
        <f t="shared" si="36"/>
        <v/>
      </c>
    </row>
    <row r="565" spans="7:14" ht="15.6" thickBot="1" x14ac:dyDescent="0.35">
      <c r="G565" s="10"/>
      <c r="J565" s="8"/>
      <c r="K565" s="2" t="str">
        <f t="shared" si="33"/>
        <v/>
      </c>
      <c r="L565" s="3" t="str">
        <f t="shared" si="34"/>
        <v/>
      </c>
      <c r="M565" s="2" t="str">
        <f t="shared" si="35"/>
        <v/>
      </c>
      <c r="N565" t="str">
        <f t="shared" si="36"/>
        <v/>
      </c>
    </row>
    <row r="566" spans="7:14" ht="15.6" thickBot="1" x14ac:dyDescent="0.35">
      <c r="G566" s="10"/>
      <c r="J566" s="8"/>
      <c r="K566" s="2" t="str">
        <f t="shared" si="33"/>
        <v/>
      </c>
      <c r="L566" s="3" t="str">
        <f t="shared" si="34"/>
        <v/>
      </c>
      <c r="M566" s="2" t="str">
        <f t="shared" si="35"/>
        <v/>
      </c>
      <c r="N566" t="str">
        <f t="shared" si="36"/>
        <v/>
      </c>
    </row>
    <row r="567" spans="7:14" ht="15.6" thickBot="1" x14ac:dyDescent="0.35">
      <c r="G567" s="10"/>
      <c r="J567" s="8"/>
      <c r="K567" s="2" t="str">
        <f t="shared" si="33"/>
        <v/>
      </c>
      <c r="L567" s="3" t="str">
        <f t="shared" si="34"/>
        <v/>
      </c>
      <c r="M567" s="2" t="str">
        <f t="shared" si="35"/>
        <v/>
      </c>
      <c r="N567" t="str">
        <f t="shared" si="36"/>
        <v/>
      </c>
    </row>
    <row r="568" spans="7:14" ht="15.6" thickBot="1" x14ac:dyDescent="0.35">
      <c r="G568" s="10"/>
      <c r="J568" s="8"/>
      <c r="K568" s="2" t="str">
        <f t="shared" si="33"/>
        <v/>
      </c>
      <c r="L568" s="3" t="str">
        <f t="shared" si="34"/>
        <v/>
      </c>
      <c r="M568" s="2" t="str">
        <f t="shared" si="35"/>
        <v/>
      </c>
      <c r="N568" t="str">
        <f t="shared" si="36"/>
        <v/>
      </c>
    </row>
    <row r="569" spans="7:14" ht="15.6" thickBot="1" x14ac:dyDescent="0.35">
      <c r="G569" s="10"/>
      <c r="J569" s="8"/>
      <c r="K569" s="2" t="str">
        <f t="shared" si="33"/>
        <v/>
      </c>
      <c r="L569" s="3" t="str">
        <f t="shared" si="34"/>
        <v/>
      </c>
      <c r="M569" s="2" t="str">
        <f t="shared" si="35"/>
        <v/>
      </c>
      <c r="N569" t="str">
        <f t="shared" si="36"/>
        <v/>
      </c>
    </row>
    <row r="570" spans="7:14" ht="15.6" thickBot="1" x14ac:dyDescent="0.35">
      <c r="G570" s="10"/>
      <c r="J570" s="8"/>
      <c r="K570" s="2" t="str">
        <f t="shared" si="33"/>
        <v/>
      </c>
      <c r="L570" s="3" t="str">
        <f t="shared" si="34"/>
        <v/>
      </c>
      <c r="M570" s="2" t="str">
        <f t="shared" si="35"/>
        <v/>
      </c>
      <c r="N570" t="str">
        <f t="shared" si="36"/>
        <v/>
      </c>
    </row>
    <row r="571" spans="7:14" ht="15.6" thickBot="1" x14ac:dyDescent="0.35">
      <c r="G571" s="10"/>
      <c r="J571" s="8"/>
      <c r="K571" s="2" t="str">
        <f t="shared" si="33"/>
        <v/>
      </c>
      <c r="L571" s="3" t="str">
        <f t="shared" si="34"/>
        <v/>
      </c>
      <c r="M571" s="2" t="str">
        <f t="shared" si="35"/>
        <v/>
      </c>
      <c r="N571" t="str">
        <f t="shared" si="36"/>
        <v/>
      </c>
    </row>
    <row r="572" spans="7:14" ht="15.6" thickBot="1" x14ac:dyDescent="0.35">
      <c r="G572" s="10"/>
      <c r="J572" s="8"/>
      <c r="K572" s="2" t="str">
        <f t="shared" si="33"/>
        <v/>
      </c>
      <c r="L572" s="3" t="str">
        <f t="shared" si="34"/>
        <v/>
      </c>
      <c r="M572" s="2" t="str">
        <f t="shared" si="35"/>
        <v/>
      </c>
      <c r="N572" t="str">
        <f t="shared" si="36"/>
        <v/>
      </c>
    </row>
    <row r="573" spans="7:14" ht="15.6" thickBot="1" x14ac:dyDescent="0.35">
      <c r="G573" s="10"/>
      <c r="J573" s="8"/>
      <c r="K573" s="2" t="str">
        <f t="shared" si="33"/>
        <v/>
      </c>
      <c r="L573" s="3" t="str">
        <f t="shared" si="34"/>
        <v/>
      </c>
      <c r="M573" s="2" t="str">
        <f t="shared" si="35"/>
        <v/>
      </c>
      <c r="N573" t="str">
        <f t="shared" si="36"/>
        <v/>
      </c>
    </row>
    <row r="574" spans="7:14" ht="15.6" thickBot="1" x14ac:dyDescent="0.35">
      <c r="G574" s="10"/>
      <c r="J574" s="8"/>
      <c r="K574" s="2" t="str">
        <f t="shared" si="33"/>
        <v/>
      </c>
      <c r="L574" s="3" t="str">
        <f t="shared" si="34"/>
        <v/>
      </c>
      <c r="M574" s="2" t="str">
        <f t="shared" si="35"/>
        <v/>
      </c>
      <c r="N574" t="str">
        <f t="shared" si="36"/>
        <v/>
      </c>
    </row>
    <row r="575" spans="7:14" ht="15.6" thickBot="1" x14ac:dyDescent="0.35">
      <c r="G575" s="10"/>
      <c r="J575" s="8"/>
      <c r="K575" s="2" t="str">
        <f t="shared" si="33"/>
        <v/>
      </c>
      <c r="L575" s="3" t="str">
        <f t="shared" si="34"/>
        <v/>
      </c>
      <c r="M575" s="2" t="str">
        <f t="shared" si="35"/>
        <v/>
      </c>
      <c r="N575" t="str">
        <f t="shared" si="36"/>
        <v/>
      </c>
    </row>
    <row r="576" spans="7:14" ht="15.6" thickBot="1" x14ac:dyDescent="0.35">
      <c r="G576" s="10"/>
      <c r="J576" s="8"/>
      <c r="K576" s="2" t="str">
        <f t="shared" si="33"/>
        <v/>
      </c>
      <c r="L576" s="3" t="str">
        <f t="shared" si="34"/>
        <v/>
      </c>
      <c r="M576" s="2" t="str">
        <f t="shared" si="35"/>
        <v/>
      </c>
      <c r="N576" t="str">
        <f t="shared" si="36"/>
        <v/>
      </c>
    </row>
    <row r="577" spans="7:14" ht="15.6" thickBot="1" x14ac:dyDescent="0.35">
      <c r="G577" s="10"/>
      <c r="J577" s="8"/>
      <c r="K577" s="2" t="str">
        <f t="shared" si="33"/>
        <v/>
      </c>
      <c r="L577" s="3" t="str">
        <f t="shared" si="34"/>
        <v/>
      </c>
      <c r="M577" s="2" t="str">
        <f t="shared" si="35"/>
        <v/>
      </c>
      <c r="N577" t="str">
        <f t="shared" si="36"/>
        <v/>
      </c>
    </row>
    <row r="578" spans="7:14" ht="15.6" thickBot="1" x14ac:dyDescent="0.35">
      <c r="G578" s="10"/>
      <c r="J578" s="8"/>
      <c r="K578" s="2" t="str">
        <f t="shared" si="33"/>
        <v/>
      </c>
      <c r="L578" s="3" t="str">
        <f t="shared" si="34"/>
        <v/>
      </c>
      <c r="M578" s="2" t="str">
        <f t="shared" si="35"/>
        <v/>
      </c>
      <c r="N578" t="str">
        <f t="shared" si="36"/>
        <v/>
      </c>
    </row>
    <row r="579" spans="7:14" ht="15.6" thickBot="1" x14ac:dyDescent="0.35">
      <c r="G579" s="10"/>
      <c r="J579" s="8"/>
      <c r="K579" s="2" t="str">
        <f t="shared" si="33"/>
        <v/>
      </c>
      <c r="L579" s="3" t="str">
        <f t="shared" si="34"/>
        <v/>
      </c>
      <c r="M579" s="2" t="str">
        <f t="shared" si="35"/>
        <v/>
      </c>
      <c r="N579" t="str">
        <f t="shared" si="36"/>
        <v/>
      </c>
    </row>
    <row r="580" spans="7:14" ht="15.6" thickBot="1" x14ac:dyDescent="0.35">
      <c r="G580" s="10"/>
      <c r="J580" s="8"/>
      <c r="K580" s="2" t="str">
        <f t="shared" si="33"/>
        <v/>
      </c>
      <c r="L580" s="3" t="str">
        <f t="shared" si="34"/>
        <v/>
      </c>
      <c r="M580" s="2" t="str">
        <f t="shared" si="35"/>
        <v/>
      </c>
      <c r="N580" t="str">
        <f t="shared" si="36"/>
        <v/>
      </c>
    </row>
    <row r="581" spans="7:14" ht="15.6" thickBot="1" x14ac:dyDescent="0.35">
      <c r="G581" s="10"/>
      <c r="J581" s="8"/>
      <c r="K581" s="2" t="str">
        <f t="shared" ref="K581:K644" si="37">SUBSTITUTE(I581,CHAR(10),"&lt;br&gt;")</f>
        <v/>
      </c>
      <c r="L581" s="3" t="str">
        <f t="shared" ref="L581:L644" si="38">IF(B581="","","{"&amp;$M$1&amp;"no"&amp;$M$1&amp;":"&amp;$M$1&amp;""&amp;B581&amp;""&amp;$M$1&amp;","&amp;$M$1&amp;"name"&amp;$M$1&amp;":"&amp;$M$1&amp;""&amp;C581&amp;""&amp;$M$1&amp;","&amp;$M$1&amp;"category"&amp;$M$1&amp;":"&amp;$M$1&amp;""&amp;D581&amp;""&amp;$M$1&amp;","&amp;$M$1&amp;"price"&amp;$M$1&amp;":"&amp;E581&amp;","&amp;$M$1&amp;"quantity"&amp;$M$1&amp;":"&amp;F581&amp;","&amp;$M$1&amp;"discount"&amp;$M$1&amp;":"&amp;G581*100&amp;","&amp;$M$1&amp;"images"&amp;$M$1&amp;":"&amp;$M$1&amp;""&amp;H581&amp;""&amp;$M$1&amp;","&amp;$M$1&amp;"description"&amp;$M$1&amp;":"&amp;$M$1&amp;""&amp;K581&amp;""&amp;$M$1&amp;"}")</f>
        <v/>
      </c>
      <c r="M581" s="2" t="str">
        <f t="shared" ref="M581:M644" si="39">IF(L582="","",",")</f>
        <v/>
      </c>
      <c r="N581" t="str">
        <f t="shared" si="36"/>
        <v/>
      </c>
    </row>
    <row r="582" spans="7:14" ht="15.6" thickBot="1" x14ac:dyDescent="0.35">
      <c r="G582" s="10"/>
      <c r="J582" s="8"/>
      <c r="K582" s="2" t="str">
        <f t="shared" si="37"/>
        <v/>
      </c>
      <c r="L582" s="3" t="str">
        <f t="shared" si="38"/>
        <v/>
      </c>
      <c r="M582" s="2" t="str">
        <f t="shared" si="39"/>
        <v/>
      </c>
      <c r="N582" t="str">
        <f t="shared" si="36"/>
        <v/>
      </c>
    </row>
    <row r="583" spans="7:14" ht="15.6" thickBot="1" x14ac:dyDescent="0.35">
      <c r="G583" s="10"/>
      <c r="J583" s="8"/>
      <c r="K583" s="2" t="str">
        <f t="shared" si="37"/>
        <v/>
      </c>
      <c r="L583" s="3" t="str">
        <f t="shared" si="38"/>
        <v/>
      </c>
      <c r="M583" s="2" t="str">
        <f t="shared" si="39"/>
        <v/>
      </c>
      <c r="N583" t="str">
        <f t="shared" si="36"/>
        <v/>
      </c>
    </row>
    <row r="584" spans="7:14" ht="15.6" thickBot="1" x14ac:dyDescent="0.35">
      <c r="G584" s="10"/>
      <c r="J584" s="8"/>
      <c r="K584" s="2" t="str">
        <f t="shared" si="37"/>
        <v/>
      </c>
      <c r="L584" s="3" t="str">
        <f t="shared" si="38"/>
        <v/>
      </c>
      <c r="M584" s="2" t="str">
        <f t="shared" si="39"/>
        <v/>
      </c>
      <c r="N584" t="str">
        <f t="shared" si="36"/>
        <v/>
      </c>
    </row>
    <row r="585" spans="7:14" ht="15.6" thickBot="1" x14ac:dyDescent="0.35">
      <c r="G585" s="10"/>
      <c r="J585" s="8"/>
      <c r="K585" s="2" t="str">
        <f t="shared" si="37"/>
        <v/>
      </c>
      <c r="L585" s="3" t="str">
        <f t="shared" si="38"/>
        <v/>
      </c>
      <c r="M585" s="2" t="str">
        <f t="shared" si="39"/>
        <v/>
      </c>
      <c r="N585" t="str">
        <f t="shared" ref="N585:N648" si="40">_xlfn.CONCAT(L585,M585)</f>
        <v/>
      </c>
    </row>
    <row r="586" spans="7:14" ht="15.6" thickBot="1" x14ac:dyDescent="0.35">
      <c r="G586" s="10"/>
      <c r="J586" s="8"/>
      <c r="K586" s="2" t="str">
        <f t="shared" si="37"/>
        <v/>
      </c>
      <c r="L586" s="3" t="str">
        <f t="shared" si="38"/>
        <v/>
      </c>
      <c r="M586" s="2" t="str">
        <f t="shared" si="39"/>
        <v/>
      </c>
      <c r="N586" t="str">
        <f t="shared" si="40"/>
        <v/>
      </c>
    </row>
    <row r="587" spans="7:14" ht="15.6" thickBot="1" x14ac:dyDescent="0.35">
      <c r="G587" s="10"/>
      <c r="J587" s="8"/>
      <c r="K587" s="2" t="str">
        <f t="shared" si="37"/>
        <v/>
      </c>
      <c r="L587" s="3" t="str">
        <f t="shared" si="38"/>
        <v/>
      </c>
      <c r="M587" s="2" t="str">
        <f t="shared" si="39"/>
        <v/>
      </c>
      <c r="N587" t="str">
        <f t="shared" si="40"/>
        <v/>
      </c>
    </row>
    <row r="588" spans="7:14" ht="15.6" thickBot="1" x14ac:dyDescent="0.35">
      <c r="G588" s="10"/>
      <c r="J588" s="8"/>
      <c r="K588" s="2" t="str">
        <f t="shared" si="37"/>
        <v/>
      </c>
      <c r="L588" s="3" t="str">
        <f t="shared" si="38"/>
        <v/>
      </c>
      <c r="M588" s="2" t="str">
        <f t="shared" si="39"/>
        <v/>
      </c>
      <c r="N588" t="str">
        <f t="shared" si="40"/>
        <v/>
      </c>
    </row>
    <row r="589" spans="7:14" ht="15.6" thickBot="1" x14ac:dyDescent="0.35">
      <c r="G589" s="10"/>
      <c r="J589" s="8"/>
      <c r="K589" s="2" t="str">
        <f t="shared" si="37"/>
        <v/>
      </c>
      <c r="L589" s="3" t="str">
        <f t="shared" si="38"/>
        <v/>
      </c>
      <c r="M589" s="2" t="str">
        <f t="shared" si="39"/>
        <v/>
      </c>
      <c r="N589" t="str">
        <f t="shared" si="40"/>
        <v/>
      </c>
    </row>
    <row r="590" spans="7:14" ht="15.6" thickBot="1" x14ac:dyDescent="0.35">
      <c r="G590" s="10"/>
      <c r="J590" s="8"/>
      <c r="K590" s="2" t="str">
        <f t="shared" si="37"/>
        <v/>
      </c>
      <c r="L590" s="3" t="str">
        <f t="shared" si="38"/>
        <v/>
      </c>
      <c r="M590" s="2" t="str">
        <f t="shared" si="39"/>
        <v/>
      </c>
      <c r="N590" t="str">
        <f t="shared" si="40"/>
        <v/>
      </c>
    </row>
    <row r="591" spans="7:14" ht="15.6" thickBot="1" x14ac:dyDescent="0.35">
      <c r="G591" s="10"/>
      <c r="J591" s="8"/>
      <c r="K591" s="2" t="str">
        <f t="shared" si="37"/>
        <v/>
      </c>
      <c r="L591" s="3" t="str">
        <f t="shared" si="38"/>
        <v/>
      </c>
      <c r="M591" s="2" t="str">
        <f t="shared" si="39"/>
        <v/>
      </c>
      <c r="N591" t="str">
        <f t="shared" si="40"/>
        <v/>
      </c>
    </row>
    <row r="592" spans="7:14" ht="15.6" thickBot="1" x14ac:dyDescent="0.35">
      <c r="G592" s="10"/>
      <c r="J592" s="8"/>
      <c r="K592" s="2" t="str">
        <f t="shared" si="37"/>
        <v/>
      </c>
      <c r="L592" s="3" t="str">
        <f t="shared" si="38"/>
        <v/>
      </c>
      <c r="M592" s="2" t="str">
        <f t="shared" si="39"/>
        <v/>
      </c>
      <c r="N592" t="str">
        <f t="shared" si="40"/>
        <v/>
      </c>
    </row>
    <row r="593" spans="7:14" ht="15.6" thickBot="1" x14ac:dyDescent="0.35">
      <c r="G593" s="10"/>
      <c r="J593" s="8"/>
      <c r="K593" s="2" t="str">
        <f t="shared" si="37"/>
        <v/>
      </c>
      <c r="L593" s="3" t="str">
        <f t="shared" si="38"/>
        <v/>
      </c>
      <c r="M593" s="2" t="str">
        <f t="shared" si="39"/>
        <v/>
      </c>
      <c r="N593" t="str">
        <f t="shared" si="40"/>
        <v/>
      </c>
    </row>
    <row r="594" spans="7:14" ht="15.6" thickBot="1" x14ac:dyDescent="0.35">
      <c r="G594" s="10"/>
      <c r="J594" s="8"/>
      <c r="K594" s="2" t="str">
        <f t="shared" si="37"/>
        <v/>
      </c>
      <c r="L594" s="3" t="str">
        <f t="shared" si="38"/>
        <v/>
      </c>
      <c r="M594" s="2" t="str">
        <f t="shared" si="39"/>
        <v/>
      </c>
      <c r="N594" t="str">
        <f t="shared" si="40"/>
        <v/>
      </c>
    </row>
    <row r="595" spans="7:14" ht="15.6" thickBot="1" x14ac:dyDescent="0.35">
      <c r="G595" s="10"/>
      <c r="J595" s="8"/>
      <c r="K595" s="2" t="str">
        <f t="shared" si="37"/>
        <v/>
      </c>
      <c r="L595" s="3" t="str">
        <f t="shared" si="38"/>
        <v/>
      </c>
      <c r="M595" s="2" t="str">
        <f t="shared" si="39"/>
        <v/>
      </c>
      <c r="N595" t="str">
        <f t="shared" si="40"/>
        <v/>
      </c>
    </row>
    <row r="596" spans="7:14" ht="15.6" thickBot="1" x14ac:dyDescent="0.35">
      <c r="G596" s="10"/>
      <c r="J596" s="8"/>
      <c r="K596" s="2" t="str">
        <f t="shared" si="37"/>
        <v/>
      </c>
      <c r="L596" s="3" t="str">
        <f t="shared" si="38"/>
        <v/>
      </c>
      <c r="M596" s="2" t="str">
        <f t="shared" si="39"/>
        <v/>
      </c>
      <c r="N596" t="str">
        <f t="shared" si="40"/>
        <v/>
      </c>
    </row>
    <row r="597" spans="7:14" ht="15.6" thickBot="1" x14ac:dyDescent="0.35">
      <c r="G597" s="10"/>
      <c r="J597" s="8"/>
      <c r="K597" s="2" t="str">
        <f t="shared" si="37"/>
        <v/>
      </c>
      <c r="L597" s="3" t="str">
        <f t="shared" si="38"/>
        <v/>
      </c>
      <c r="M597" s="2" t="str">
        <f t="shared" si="39"/>
        <v/>
      </c>
      <c r="N597" t="str">
        <f t="shared" si="40"/>
        <v/>
      </c>
    </row>
    <row r="598" spans="7:14" ht="15.6" thickBot="1" x14ac:dyDescent="0.35">
      <c r="G598" s="10"/>
      <c r="J598" s="8"/>
      <c r="K598" s="2" t="str">
        <f t="shared" si="37"/>
        <v/>
      </c>
      <c r="L598" s="3" t="str">
        <f t="shared" si="38"/>
        <v/>
      </c>
      <c r="M598" s="2" t="str">
        <f t="shared" si="39"/>
        <v/>
      </c>
      <c r="N598" t="str">
        <f t="shared" si="40"/>
        <v/>
      </c>
    </row>
    <row r="599" spans="7:14" ht="15.6" thickBot="1" x14ac:dyDescent="0.35">
      <c r="G599" s="10"/>
      <c r="J599" s="8"/>
      <c r="K599" s="2" t="str">
        <f t="shared" si="37"/>
        <v/>
      </c>
      <c r="L599" s="3" t="str">
        <f t="shared" si="38"/>
        <v/>
      </c>
      <c r="M599" s="2" t="str">
        <f t="shared" si="39"/>
        <v/>
      </c>
      <c r="N599" t="str">
        <f t="shared" si="40"/>
        <v/>
      </c>
    </row>
    <row r="600" spans="7:14" ht="15.6" thickBot="1" x14ac:dyDescent="0.35">
      <c r="G600" s="10"/>
      <c r="J600" s="8"/>
      <c r="K600" s="2" t="str">
        <f t="shared" si="37"/>
        <v/>
      </c>
      <c r="L600" s="3" t="str">
        <f t="shared" si="38"/>
        <v/>
      </c>
      <c r="M600" s="2" t="str">
        <f t="shared" si="39"/>
        <v/>
      </c>
      <c r="N600" t="str">
        <f t="shared" si="40"/>
        <v/>
      </c>
    </row>
    <row r="601" spans="7:14" ht="15.6" thickBot="1" x14ac:dyDescent="0.35">
      <c r="G601" s="10"/>
      <c r="J601" s="8"/>
      <c r="K601" s="2" t="str">
        <f t="shared" si="37"/>
        <v/>
      </c>
      <c r="L601" s="3" t="str">
        <f t="shared" si="38"/>
        <v/>
      </c>
      <c r="M601" s="2" t="str">
        <f t="shared" si="39"/>
        <v/>
      </c>
      <c r="N601" t="str">
        <f t="shared" si="40"/>
        <v/>
      </c>
    </row>
    <row r="602" spans="7:14" ht="15.6" thickBot="1" x14ac:dyDescent="0.35">
      <c r="G602" s="10"/>
      <c r="J602" s="8"/>
      <c r="K602" s="2" t="str">
        <f t="shared" si="37"/>
        <v/>
      </c>
      <c r="L602" s="3" t="str">
        <f t="shared" si="38"/>
        <v/>
      </c>
      <c r="M602" s="2" t="str">
        <f t="shared" si="39"/>
        <v/>
      </c>
      <c r="N602" t="str">
        <f t="shared" si="40"/>
        <v/>
      </c>
    </row>
    <row r="603" spans="7:14" ht="15.6" thickBot="1" x14ac:dyDescent="0.35">
      <c r="G603" s="10"/>
      <c r="J603" s="8"/>
      <c r="K603" s="2" t="str">
        <f t="shared" si="37"/>
        <v/>
      </c>
      <c r="L603" s="3" t="str">
        <f t="shared" si="38"/>
        <v/>
      </c>
      <c r="M603" s="2" t="str">
        <f t="shared" si="39"/>
        <v/>
      </c>
      <c r="N603" t="str">
        <f t="shared" si="40"/>
        <v/>
      </c>
    </row>
    <row r="604" spans="7:14" ht="15.6" thickBot="1" x14ac:dyDescent="0.35">
      <c r="G604" s="10"/>
      <c r="J604" s="8"/>
      <c r="K604" s="2" t="str">
        <f t="shared" si="37"/>
        <v/>
      </c>
      <c r="L604" s="3" t="str">
        <f t="shared" si="38"/>
        <v/>
      </c>
      <c r="M604" s="2" t="str">
        <f t="shared" si="39"/>
        <v/>
      </c>
      <c r="N604" t="str">
        <f t="shared" si="40"/>
        <v/>
      </c>
    </row>
    <row r="605" spans="7:14" ht="15.6" thickBot="1" x14ac:dyDescent="0.35">
      <c r="G605" s="10"/>
      <c r="J605" s="8"/>
      <c r="K605" s="2" t="str">
        <f t="shared" si="37"/>
        <v/>
      </c>
      <c r="L605" s="3" t="str">
        <f t="shared" si="38"/>
        <v/>
      </c>
      <c r="M605" s="2" t="str">
        <f t="shared" si="39"/>
        <v/>
      </c>
      <c r="N605" t="str">
        <f t="shared" si="40"/>
        <v/>
      </c>
    </row>
    <row r="606" spans="7:14" ht="15.6" thickBot="1" x14ac:dyDescent="0.35">
      <c r="G606" s="10"/>
      <c r="J606" s="8"/>
      <c r="K606" s="2" t="str">
        <f t="shared" si="37"/>
        <v/>
      </c>
      <c r="L606" s="3" t="str">
        <f t="shared" si="38"/>
        <v/>
      </c>
      <c r="M606" s="2" t="str">
        <f t="shared" si="39"/>
        <v/>
      </c>
      <c r="N606" t="str">
        <f t="shared" si="40"/>
        <v/>
      </c>
    </row>
    <row r="607" spans="7:14" ht="15.6" thickBot="1" x14ac:dyDescent="0.35">
      <c r="G607" s="10"/>
      <c r="J607" s="8"/>
      <c r="K607" s="2" t="str">
        <f t="shared" si="37"/>
        <v/>
      </c>
      <c r="L607" s="3" t="str">
        <f t="shared" si="38"/>
        <v/>
      </c>
      <c r="M607" s="2" t="str">
        <f t="shared" si="39"/>
        <v/>
      </c>
      <c r="N607" t="str">
        <f t="shared" si="40"/>
        <v/>
      </c>
    </row>
    <row r="608" spans="7:14" ht="15.6" thickBot="1" x14ac:dyDescent="0.35">
      <c r="G608" s="10"/>
      <c r="J608" s="8"/>
      <c r="K608" s="2" t="str">
        <f t="shared" si="37"/>
        <v/>
      </c>
      <c r="L608" s="3" t="str">
        <f t="shared" si="38"/>
        <v/>
      </c>
      <c r="M608" s="2" t="str">
        <f t="shared" si="39"/>
        <v/>
      </c>
      <c r="N608" t="str">
        <f t="shared" si="40"/>
        <v/>
      </c>
    </row>
    <row r="609" spans="7:14" ht="15.6" thickBot="1" x14ac:dyDescent="0.35">
      <c r="G609" s="10"/>
      <c r="J609" s="8"/>
      <c r="K609" s="2" t="str">
        <f t="shared" si="37"/>
        <v/>
      </c>
      <c r="L609" s="3" t="str">
        <f t="shared" si="38"/>
        <v/>
      </c>
      <c r="M609" s="2" t="str">
        <f t="shared" si="39"/>
        <v/>
      </c>
      <c r="N609" t="str">
        <f t="shared" si="40"/>
        <v/>
      </c>
    </row>
    <row r="610" spans="7:14" ht="15.6" thickBot="1" x14ac:dyDescent="0.35">
      <c r="G610" s="10"/>
      <c r="J610" s="8"/>
      <c r="K610" s="2" t="str">
        <f t="shared" si="37"/>
        <v/>
      </c>
      <c r="L610" s="3" t="str">
        <f t="shared" si="38"/>
        <v/>
      </c>
      <c r="M610" s="2" t="str">
        <f t="shared" si="39"/>
        <v/>
      </c>
      <c r="N610" t="str">
        <f t="shared" si="40"/>
        <v/>
      </c>
    </row>
    <row r="611" spans="7:14" ht="15.6" thickBot="1" x14ac:dyDescent="0.35">
      <c r="G611" s="10"/>
      <c r="J611" s="8"/>
      <c r="K611" s="2" t="str">
        <f t="shared" si="37"/>
        <v/>
      </c>
      <c r="L611" s="3" t="str">
        <f t="shared" si="38"/>
        <v/>
      </c>
      <c r="M611" s="2" t="str">
        <f t="shared" si="39"/>
        <v/>
      </c>
      <c r="N611" t="str">
        <f t="shared" si="40"/>
        <v/>
      </c>
    </row>
    <row r="612" spans="7:14" ht="15.6" thickBot="1" x14ac:dyDescent="0.35">
      <c r="G612" s="10"/>
      <c r="J612" s="8"/>
      <c r="K612" s="2" t="str">
        <f t="shared" si="37"/>
        <v/>
      </c>
      <c r="L612" s="3" t="str">
        <f t="shared" si="38"/>
        <v/>
      </c>
      <c r="M612" s="2" t="str">
        <f t="shared" si="39"/>
        <v/>
      </c>
      <c r="N612" t="str">
        <f t="shared" si="40"/>
        <v/>
      </c>
    </row>
    <row r="613" spans="7:14" ht="15.6" thickBot="1" x14ac:dyDescent="0.35">
      <c r="G613" s="10"/>
      <c r="J613" s="8"/>
      <c r="K613" s="2" t="str">
        <f t="shared" si="37"/>
        <v/>
      </c>
      <c r="L613" s="3" t="str">
        <f t="shared" si="38"/>
        <v/>
      </c>
      <c r="M613" s="2" t="str">
        <f t="shared" si="39"/>
        <v/>
      </c>
      <c r="N613" t="str">
        <f t="shared" si="40"/>
        <v/>
      </c>
    </row>
    <row r="614" spans="7:14" ht="15.6" thickBot="1" x14ac:dyDescent="0.35">
      <c r="G614" s="10"/>
      <c r="J614" s="8"/>
      <c r="K614" s="2" t="str">
        <f t="shared" si="37"/>
        <v/>
      </c>
      <c r="L614" s="3" t="str">
        <f t="shared" si="38"/>
        <v/>
      </c>
      <c r="M614" s="2" t="str">
        <f t="shared" si="39"/>
        <v/>
      </c>
      <c r="N614" t="str">
        <f t="shared" si="40"/>
        <v/>
      </c>
    </row>
    <row r="615" spans="7:14" ht="15.6" thickBot="1" x14ac:dyDescent="0.35">
      <c r="G615" s="10"/>
      <c r="J615" s="8"/>
      <c r="K615" s="2" t="str">
        <f t="shared" si="37"/>
        <v/>
      </c>
      <c r="L615" s="3" t="str">
        <f t="shared" si="38"/>
        <v/>
      </c>
      <c r="M615" s="2" t="str">
        <f t="shared" si="39"/>
        <v/>
      </c>
      <c r="N615" t="str">
        <f t="shared" si="40"/>
        <v/>
      </c>
    </row>
    <row r="616" spans="7:14" ht="15.6" thickBot="1" x14ac:dyDescent="0.35">
      <c r="G616" s="10"/>
      <c r="J616" s="8"/>
      <c r="K616" s="2" t="str">
        <f t="shared" si="37"/>
        <v/>
      </c>
      <c r="L616" s="3" t="str">
        <f t="shared" si="38"/>
        <v/>
      </c>
      <c r="M616" s="2" t="str">
        <f t="shared" si="39"/>
        <v/>
      </c>
      <c r="N616" t="str">
        <f t="shared" si="40"/>
        <v/>
      </c>
    </row>
    <row r="617" spans="7:14" ht="15.6" thickBot="1" x14ac:dyDescent="0.35">
      <c r="G617" s="10"/>
      <c r="J617" s="8"/>
      <c r="K617" s="2" t="str">
        <f t="shared" si="37"/>
        <v/>
      </c>
      <c r="L617" s="3" t="str">
        <f t="shared" si="38"/>
        <v/>
      </c>
      <c r="M617" s="2" t="str">
        <f t="shared" si="39"/>
        <v/>
      </c>
      <c r="N617" t="str">
        <f t="shared" si="40"/>
        <v/>
      </c>
    </row>
    <row r="618" spans="7:14" ht="15.6" thickBot="1" x14ac:dyDescent="0.35">
      <c r="G618" s="10"/>
      <c r="J618" s="8"/>
      <c r="K618" s="2" t="str">
        <f t="shared" si="37"/>
        <v/>
      </c>
      <c r="L618" s="3" t="str">
        <f t="shared" si="38"/>
        <v/>
      </c>
      <c r="M618" s="2" t="str">
        <f t="shared" si="39"/>
        <v/>
      </c>
      <c r="N618" t="str">
        <f t="shared" si="40"/>
        <v/>
      </c>
    </row>
    <row r="619" spans="7:14" ht="15.6" thickBot="1" x14ac:dyDescent="0.35">
      <c r="G619" s="10"/>
      <c r="J619" s="8"/>
      <c r="K619" s="2" t="str">
        <f t="shared" si="37"/>
        <v/>
      </c>
      <c r="L619" s="3" t="str">
        <f t="shared" si="38"/>
        <v/>
      </c>
      <c r="M619" s="2" t="str">
        <f t="shared" si="39"/>
        <v/>
      </c>
      <c r="N619" t="str">
        <f t="shared" si="40"/>
        <v/>
      </c>
    </row>
    <row r="620" spans="7:14" ht="15.6" thickBot="1" x14ac:dyDescent="0.35">
      <c r="G620" s="10"/>
      <c r="J620" s="8"/>
      <c r="K620" s="2" t="str">
        <f t="shared" si="37"/>
        <v/>
      </c>
      <c r="L620" s="3" t="str">
        <f t="shared" si="38"/>
        <v/>
      </c>
      <c r="M620" s="2" t="str">
        <f t="shared" si="39"/>
        <v/>
      </c>
      <c r="N620" t="str">
        <f t="shared" si="40"/>
        <v/>
      </c>
    </row>
    <row r="621" spans="7:14" ht="15.6" thickBot="1" x14ac:dyDescent="0.35">
      <c r="G621" s="10"/>
      <c r="J621" s="8"/>
      <c r="K621" s="2" t="str">
        <f t="shared" si="37"/>
        <v/>
      </c>
      <c r="L621" s="3" t="str">
        <f t="shared" si="38"/>
        <v/>
      </c>
      <c r="M621" s="2" t="str">
        <f t="shared" si="39"/>
        <v/>
      </c>
      <c r="N621" t="str">
        <f t="shared" si="40"/>
        <v/>
      </c>
    </row>
    <row r="622" spans="7:14" ht="15.6" thickBot="1" x14ac:dyDescent="0.35">
      <c r="G622" s="10"/>
      <c r="J622" s="8"/>
      <c r="K622" s="2" t="str">
        <f t="shared" si="37"/>
        <v/>
      </c>
      <c r="L622" s="3" t="str">
        <f t="shared" si="38"/>
        <v/>
      </c>
      <c r="M622" s="2" t="str">
        <f t="shared" si="39"/>
        <v/>
      </c>
      <c r="N622" t="str">
        <f t="shared" si="40"/>
        <v/>
      </c>
    </row>
    <row r="623" spans="7:14" ht="15.6" thickBot="1" x14ac:dyDescent="0.35">
      <c r="G623" s="10"/>
      <c r="J623" s="8"/>
      <c r="K623" s="2" t="str">
        <f t="shared" si="37"/>
        <v/>
      </c>
      <c r="L623" s="3" t="str">
        <f t="shared" si="38"/>
        <v/>
      </c>
      <c r="M623" s="2" t="str">
        <f t="shared" si="39"/>
        <v/>
      </c>
      <c r="N623" t="str">
        <f t="shared" si="40"/>
        <v/>
      </c>
    </row>
    <row r="624" spans="7:14" ht="15.6" thickBot="1" x14ac:dyDescent="0.35">
      <c r="G624" s="10"/>
      <c r="J624" s="8"/>
      <c r="K624" s="2" t="str">
        <f t="shared" si="37"/>
        <v/>
      </c>
      <c r="L624" s="3" t="str">
        <f t="shared" si="38"/>
        <v/>
      </c>
      <c r="M624" s="2" t="str">
        <f t="shared" si="39"/>
        <v/>
      </c>
      <c r="N624" t="str">
        <f t="shared" si="40"/>
        <v/>
      </c>
    </row>
    <row r="625" spans="7:14" ht="15.6" thickBot="1" x14ac:dyDescent="0.35">
      <c r="G625" s="10"/>
      <c r="J625" s="8"/>
      <c r="K625" s="2" t="str">
        <f t="shared" si="37"/>
        <v/>
      </c>
      <c r="L625" s="3" t="str">
        <f t="shared" si="38"/>
        <v/>
      </c>
      <c r="M625" s="2" t="str">
        <f t="shared" si="39"/>
        <v/>
      </c>
      <c r="N625" t="str">
        <f t="shared" si="40"/>
        <v/>
      </c>
    </row>
    <row r="626" spans="7:14" ht="15.6" thickBot="1" x14ac:dyDescent="0.35">
      <c r="G626" s="10"/>
      <c r="J626" s="8"/>
      <c r="K626" s="2" t="str">
        <f t="shared" si="37"/>
        <v/>
      </c>
      <c r="L626" s="3" t="str">
        <f t="shared" si="38"/>
        <v/>
      </c>
      <c r="M626" s="2" t="str">
        <f t="shared" si="39"/>
        <v/>
      </c>
      <c r="N626" t="str">
        <f t="shared" si="40"/>
        <v/>
      </c>
    </row>
    <row r="627" spans="7:14" ht="15.6" thickBot="1" x14ac:dyDescent="0.35">
      <c r="G627" s="10"/>
      <c r="J627" s="8"/>
      <c r="K627" s="2" t="str">
        <f t="shared" si="37"/>
        <v/>
      </c>
      <c r="L627" s="3" t="str">
        <f t="shared" si="38"/>
        <v/>
      </c>
      <c r="M627" s="2" t="str">
        <f t="shared" si="39"/>
        <v/>
      </c>
      <c r="N627" t="str">
        <f t="shared" si="40"/>
        <v/>
      </c>
    </row>
    <row r="628" spans="7:14" ht="15.6" thickBot="1" x14ac:dyDescent="0.35">
      <c r="G628" s="10"/>
      <c r="J628" s="8"/>
      <c r="K628" s="2" t="str">
        <f t="shared" si="37"/>
        <v/>
      </c>
      <c r="L628" s="3" t="str">
        <f t="shared" si="38"/>
        <v/>
      </c>
      <c r="M628" s="2" t="str">
        <f t="shared" si="39"/>
        <v/>
      </c>
      <c r="N628" t="str">
        <f t="shared" si="40"/>
        <v/>
      </c>
    </row>
    <row r="629" spans="7:14" ht="15.6" thickBot="1" x14ac:dyDescent="0.35">
      <c r="G629" s="10"/>
      <c r="J629" s="8"/>
      <c r="K629" s="2" t="str">
        <f t="shared" si="37"/>
        <v/>
      </c>
      <c r="L629" s="3" t="str">
        <f t="shared" si="38"/>
        <v/>
      </c>
      <c r="M629" s="2" t="str">
        <f t="shared" si="39"/>
        <v/>
      </c>
      <c r="N629" t="str">
        <f t="shared" si="40"/>
        <v/>
      </c>
    </row>
    <row r="630" spans="7:14" ht="15.6" thickBot="1" x14ac:dyDescent="0.35">
      <c r="G630" s="10"/>
      <c r="J630" s="8"/>
      <c r="K630" s="2" t="str">
        <f t="shared" si="37"/>
        <v/>
      </c>
      <c r="L630" s="3" t="str">
        <f t="shared" si="38"/>
        <v/>
      </c>
      <c r="M630" s="2" t="str">
        <f t="shared" si="39"/>
        <v/>
      </c>
      <c r="N630" t="str">
        <f t="shared" si="40"/>
        <v/>
      </c>
    </row>
    <row r="631" spans="7:14" ht="15.6" thickBot="1" x14ac:dyDescent="0.35">
      <c r="G631" s="10"/>
      <c r="J631" s="8"/>
      <c r="K631" s="2" t="str">
        <f t="shared" si="37"/>
        <v/>
      </c>
      <c r="L631" s="3" t="str">
        <f t="shared" si="38"/>
        <v/>
      </c>
      <c r="M631" s="2" t="str">
        <f t="shared" si="39"/>
        <v/>
      </c>
      <c r="N631" t="str">
        <f t="shared" si="40"/>
        <v/>
      </c>
    </row>
    <row r="632" spans="7:14" ht="15.6" thickBot="1" x14ac:dyDescent="0.35">
      <c r="G632" s="10"/>
      <c r="J632" s="8"/>
      <c r="K632" s="2" t="str">
        <f t="shared" si="37"/>
        <v/>
      </c>
      <c r="L632" s="3" t="str">
        <f t="shared" si="38"/>
        <v/>
      </c>
      <c r="M632" s="2" t="str">
        <f t="shared" si="39"/>
        <v/>
      </c>
      <c r="N632" t="str">
        <f t="shared" si="40"/>
        <v/>
      </c>
    </row>
    <row r="633" spans="7:14" ht="15.6" thickBot="1" x14ac:dyDescent="0.35">
      <c r="G633" s="10"/>
      <c r="J633" s="8"/>
      <c r="K633" s="2" t="str">
        <f t="shared" si="37"/>
        <v/>
      </c>
      <c r="L633" s="3" t="str">
        <f t="shared" si="38"/>
        <v/>
      </c>
      <c r="M633" s="2" t="str">
        <f t="shared" si="39"/>
        <v/>
      </c>
      <c r="N633" t="str">
        <f t="shared" si="40"/>
        <v/>
      </c>
    </row>
    <row r="634" spans="7:14" ht="15.6" thickBot="1" x14ac:dyDescent="0.35">
      <c r="G634" s="10"/>
      <c r="J634" s="8"/>
      <c r="K634" s="2" t="str">
        <f t="shared" si="37"/>
        <v/>
      </c>
      <c r="L634" s="3" t="str">
        <f t="shared" si="38"/>
        <v/>
      </c>
      <c r="M634" s="2" t="str">
        <f t="shared" si="39"/>
        <v/>
      </c>
      <c r="N634" t="str">
        <f t="shared" si="40"/>
        <v/>
      </c>
    </row>
    <row r="635" spans="7:14" ht="15.6" thickBot="1" x14ac:dyDescent="0.35">
      <c r="G635" s="10"/>
      <c r="J635" s="8"/>
      <c r="K635" s="2" t="str">
        <f t="shared" si="37"/>
        <v/>
      </c>
      <c r="L635" s="3" t="str">
        <f t="shared" si="38"/>
        <v/>
      </c>
      <c r="M635" s="2" t="str">
        <f t="shared" si="39"/>
        <v/>
      </c>
      <c r="N635" t="str">
        <f t="shared" si="40"/>
        <v/>
      </c>
    </row>
    <row r="636" spans="7:14" ht="15.6" thickBot="1" x14ac:dyDescent="0.35">
      <c r="G636" s="10"/>
      <c r="J636" s="8"/>
      <c r="K636" s="2" t="str">
        <f t="shared" si="37"/>
        <v/>
      </c>
      <c r="L636" s="3" t="str">
        <f t="shared" si="38"/>
        <v/>
      </c>
      <c r="M636" s="2" t="str">
        <f t="shared" si="39"/>
        <v/>
      </c>
      <c r="N636" t="str">
        <f t="shared" si="40"/>
        <v/>
      </c>
    </row>
    <row r="637" spans="7:14" ht="15.6" thickBot="1" x14ac:dyDescent="0.35">
      <c r="G637" s="10"/>
      <c r="J637" s="8"/>
      <c r="K637" s="2" t="str">
        <f t="shared" si="37"/>
        <v/>
      </c>
      <c r="L637" s="3" t="str">
        <f t="shared" si="38"/>
        <v/>
      </c>
      <c r="M637" s="2" t="str">
        <f t="shared" si="39"/>
        <v/>
      </c>
      <c r="N637" t="str">
        <f t="shared" si="40"/>
        <v/>
      </c>
    </row>
    <row r="638" spans="7:14" ht="15.6" thickBot="1" x14ac:dyDescent="0.35">
      <c r="G638" s="10"/>
      <c r="J638" s="8"/>
      <c r="K638" s="2" t="str">
        <f t="shared" si="37"/>
        <v/>
      </c>
      <c r="L638" s="3" t="str">
        <f t="shared" si="38"/>
        <v/>
      </c>
      <c r="M638" s="2" t="str">
        <f t="shared" si="39"/>
        <v/>
      </c>
      <c r="N638" t="str">
        <f t="shared" si="40"/>
        <v/>
      </c>
    </row>
    <row r="639" spans="7:14" ht="15.6" thickBot="1" x14ac:dyDescent="0.35">
      <c r="G639" s="10"/>
      <c r="J639" s="8"/>
      <c r="K639" s="2" t="str">
        <f t="shared" si="37"/>
        <v/>
      </c>
      <c r="L639" s="3" t="str">
        <f t="shared" si="38"/>
        <v/>
      </c>
      <c r="M639" s="2" t="str">
        <f t="shared" si="39"/>
        <v/>
      </c>
      <c r="N639" t="str">
        <f t="shared" si="40"/>
        <v/>
      </c>
    </row>
    <row r="640" spans="7:14" ht="15.6" thickBot="1" x14ac:dyDescent="0.35">
      <c r="G640" s="10"/>
      <c r="J640" s="8"/>
      <c r="K640" s="2" t="str">
        <f t="shared" si="37"/>
        <v/>
      </c>
      <c r="L640" s="3" t="str">
        <f t="shared" si="38"/>
        <v/>
      </c>
      <c r="M640" s="2" t="str">
        <f t="shared" si="39"/>
        <v/>
      </c>
      <c r="N640" t="str">
        <f t="shared" si="40"/>
        <v/>
      </c>
    </row>
    <row r="641" spans="7:14" ht="15.6" thickBot="1" x14ac:dyDescent="0.35">
      <c r="G641" s="10"/>
      <c r="J641" s="8"/>
      <c r="K641" s="2" t="str">
        <f t="shared" si="37"/>
        <v/>
      </c>
      <c r="L641" s="3" t="str">
        <f t="shared" si="38"/>
        <v/>
      </c>
      <c r="M641" s="2" t="str">
        <f t="shared" si="39"/>
        <v/>
      </c>
      <c r="N641" t="str">
        <f t="shared" si="40"/>
        <v/>
      </c>
    </row>
    <row r="642" spans="7:14" ht="15.6" thickBot="1" x14ac:dyDescent="0.35">
      <c r="G642" s="10"/>
      <c r="J642" s="8"/>
      <c r="K642" s="2" t="str">
        <f t="shared" si="37"/>
        <v/>
      </c>
      <c r="L642" s="3" t="str">
        <f t="shared" si="38"/>
        <v/>
      </c>
      <c r="M642" s="2" t="str">
        <f t="shared" si="39"/>
        <v/>
      </c>
      <c r="N642" t="str">
        <f t="shared" si="40"/>
        <v/>
      </c>
    </row>
    <row r="643" spans="7:14" ht="15.6" thickBot="1" x14ac:dyDescent="0.35">
      <c r="G643" s="10"/>
      <c r="J643" s="8"/>
      <c r="K643" s="2" t="str">
        <f t="shared" si="37"/>
        <v/>
      </c>
      <c r="L643" s="3" t="str">
        <f t="shared" si="38"/>
        <v/>
      </c>
      <c r="M643" s="2" t="str">
        <f t="shared" si="39"/>
        <v/>
      </c>
      <c r="N643" t="str">
        <f t="shared" si="40"/>
        <v/>
      </c>
    </row>
    <row r="644" spans="7:14" ht="15.6" thickBot="1" x14ac:dyDescent="0.35">
      <c r="G644" s="10"/>
      <c r="J644" s="8"/>
      <c r="K644" s="2" t="str">
        <f t="shared" si="37"/>
        <v/>
      </c>
      <c r="L644" s="3" t="str">
        <f t="shared" si="38"/>
        <v/>
      </c>
      <c r="M644" s="2" t="str">
        <f t="shared" si="39"/>
        <v/>
      </c>
      <c r="N644" t="str">
        <f t="shared" si="40"/>
        <v/>
      </c>
    </row>
    <row r="645" spans="7:14" ht="15.6" thickBot="1" x14ac:dyDescent="0.35">
      <c r="G645" s="10"/>
      <c r="J645" s="8"/>
      <c r="K645" s="2" t="str">
        <f t="shared" ref="K645:K708" si="41">SUBSTITUTE(I645,CHAR(10),"&lt;br&gt;")</f>
        <v/>
      </c>
      <c r="L645" s="3" t="str">
        <f t="shared" ref="L645:L708" si="42">IF(B645="","","{"&amp;$M$1&amp;"no"&amp;$M$1&amp;":"&amp;$M$1&amp;""&amp;B645&amp;""&amp;$M$1&amp;","&amp;$M$1&amp;"name"&amp;$M$1&amp;":"&amp;$M$1&amp;""&amp;C645&amp;""&amp;$M$1&amp;","&amp;$M$1&amp;"category"&amp;$M$1&amp;":"&amp;$M$1&amp;""&amp;D645&amp;""&amp;$M$1&amp;","&amp;$M$1&amp;"price"&amp;$M$1&amp;":"&amp;E645&amp;","&amp;$M$1&amp;"quantity"&amp;$M$1&amp;":"&amp;F645&amp;","&amp;$M$1&amp;"discount"&amp;$M$1&amp;":"&amp;G645*100&amp;","&amp;$M$1&amp;"images"&amp;$M$1&amp;":"&amp;$M$1&amp;""&amp;H645&amp;""&amp;$M$1&amp;","&amp;$M$1&amp;"description"&amp;$M$1&amp;":"&amp;$M$1&amp;""&amp;K645&amp;""&amp;$M$1&amp;"}")</f>
        <v/>
      </c>
      <c r="M645" s="2" t="str">
        <f t="shared" ref="M645:M708" si="43">IF(L646="","",",")</f>
        <v/>
      </c>
      <c r="N645" t="str">
        <f t="shared" si="40"/>
        <v/>
      </c>
    </row>
    <row r="646" spans="7:14" ht="15.6" thickBot="1" x14ac:dyDescent="0.35">
      <c r="G646" s="10"/>
      <c r="J646" s="8"/>
      <c r="K646" s="2" t="str">
        <f t="shared" si="41"/>
        <v/>
      </c>
      <c r="L646" s="3" t="str">
        <f t="shared" si="42"/>
        <v/>
      </c>
      <c r="M646" s="2" t="str">
        <f t="shared" si="43"/>
        <v/>
      </c>
      <c r="N646" t="str">
        <f t="shared" si="40"/>
        <v/>
      </c>
    </row>
    <row r="647" spans="7:14" ht="15.6" thickBot="1" x14ac:dyDescent="0.35">
      <c r="G647" s="10"/>
      <c r="J647" s="8"/>
      <c r="K647" s="2" t="str">
        <f t="shared" si="41"/>
        <v/>
      </c>
      <c r="L647" s="3" t="str">
        <f t="shared" si="42"/>
        <v/>
      </c>
      <c r="M647" s="2" t="str">
        <f t="shared" si="43"/>
        <v/>
      </c>
      <c r="N647" t="str">
        <f t="shared" si="40"/>
        <v/>
      </c>
    </row>
    <row r="648" spans="7:14" ht="15.6" thickBot="1" x14ac:dyDescent="0.35">
      <c r="G648" s="10"/>
      <c r="J648" s="8"/>
      <c r="K648" s="2" t="str">
        <f t="shared" si="41"/>
        <v/>
      </c>
      <c r="L648" s="3" t="str">
        <f t="shared" si="42"/>
        <v/>
      </c>
      <c r="M648" s="2" t="str">
        <f t="shared" si="43"/>
        <v/>
      </c>
      <c r="N648" t="str">
        <f t="shared" si="40"/>
        <v/>
      </c>
    </row>
    <row r="649" spans="7:14" ht="15.6" thickBot="1" x14ac:dyDescent="0.35">
      <c r="G649" s="10"/>
      <c r="J649" s="8"/>
      <c r="K649" s="2" t="str">
        <f t="shared" si="41"/>
        <v/>
      </c>
      <c r="L649" s="3" t="str">
        <f t="shared" si="42"/>
        <v/>
      </c>
      <c r="M649" s="2" t="str">
        <f t="shared" si="43"/>
        <v/>
      </c>
      <c r="N649" t="str">
        <f t="shared" ref="N649:N712" si="44">_xlfn.CONCAT(L649,M649)</f>
        <v/>
      </c>
    </row>
    <row r="650" spans="7:14" ht="15.6" thickBot="1" x14ac:dyDescent="0.35">
      <c r="G650" s="10"/>
      <c r="J650" s="8"/>
      <c r="K650" s="2" t="str">
        <f t="shared" si="41"/>
        <v/>
      </c>
      <c r="L650" s="3" t="str">
        <f t="shared" si="42"/>
        <v/>
      </c>
      <c r="M650" s="2" t="str">
        <f t="shared" si="43"/>
        <v/>
      </c>
      <c r="N650" t="str">
        <f t="shared" si="44"/>
        <v/>
      </c>
    </row>
    <row r="651" spans="7:14" ht="15.6" thickBot="1" x14ac:dyDescent="0.35">
      <c r="G651" s="10"/>
      <c r="J651" s="8"/>
      <c r="K651" s="2" t="str">
        <f t="shared" si="41"/>
        <v/>
      </c>
      <c r="L651" s="3" t="str">
        <f t="shared" si="42"/>
        <v/>
      </c>
      <c r="M651" s="2" t="str">
        <f t="shared" si="43"/>
        <v/>
      </c>
      <c r="N651" t="str">
        <f t="shared" si="44"/>
        <v/>
      </c>
    </row>
    <row r="652" spans="7:14" ht="15.6" thickBot="1" x14ac:dyDescent="0.35">
      <c r="G652" s="10"/>
      <c r="J652" s="8"/>
      <c r="K652" s="2" t="str">
        <f t="shared" si="41"/>
        <v/>
      </c>
      <c r="L652" s="3" t="str">
        <f t="shared" si="42"/>
        <v/>
      </c>
      <c r="M652" s="2" t="str">
        <f t="shared" si="43"/>
        <v/>
      </c>
      <c r="N652" t="str">
        <f t="shared" si="44"/>
        <v/>
      </c>
    </row>
    <row r="653" spans="7:14" ht="15.6" thickBot="1" x14ac:dyDescent="0.35">
      <c r="G653" s="10"/>
      <c r="J653" s="8"/>
      <c r="K653" s="2" t="str">
        <f t="shared" si="41"/>
        <v/>
      </c>
      <c r="L653" s="3" t="str">
        <f t="shared" si="42"/>
        <v/>
      </c>
      <c r="M653" s="2" t="str">
        <f t="shared" si="43"/>
        <v/>
      </c>
      <c r="N653" t="str">
        <f t="shared" si="44"/>
        <v/>
      </c>
    </row>
    <row r="654" spans="7:14" ht="15.6" thickBot="1" x14ac:dyDescent="0.35">
      <c r="G654" s="10"/>
      <c r="J654" s="8"/>
      <c r="K654" s="2" t="str">
        <f t="shared" si="41"/>
        <v/>
      </c>
      <c r="L654" s="3" t="str">
        <f t="shared" si="42"/>
        <v/>
      </c>
      <c r="M654" s="2" t="str">
        <f t="shared" si="43"/>
        <v/>
      </c>
      <c r="N654" t="str">
        <f t="shared" si="44"/>
        <v/>
      </c>
    </row>
    <row r="655" spans="7:14" ht="15.6" thickBot="1" x14ac:dyDescent="0.35">
      <c r="G655" s="10"/>
      <c r="J655" s="8"/>
      <c r="K655" s="2" t="str">
        <f t="shared" si="41"/>
        <v/>
      </c>
      <c r="L655" s="3" t="str">
        <f t="shared" si="42"/>
        <v/>
      </c>
      <c r="M655" s="2" t="str">
        <f t="shared" si="43"/>
        <v/>
      </c>
      <c r="N655" t="str">
        <f t="shared" si="44"/>
        <v/>
      </c>
    </row>
    <row r="656" spans="7:14" ht="15.6" thickBot="1" x14ac:dyDescent="0.35">
      <c r="G656" s="10"/>
      <c r="J656" s="8"/>
      <c r="K656" s="2" t="str">
        <f t="shared" si="41"/>
        <v/>
      </c>
      <c r="L656" s="3" t="str">
        <f t="shared" si="42"/>
        <v/>
      </c>
      <c r="M656" s="2" t="str">
        <f t="shared" si="43"/>
        <v/>
      </c>
      <c r="N656" t="str">
        <f t="shared" si="44"/>
        <v/>
      </c>
    </row>
    <row r="657" spans="7:14" ht="15.6" thickBot="1" x14ac:dyDescent="0.35">
      <c r="G657" s="10"/>
      <c r="J657" s="8"/>
      <c r="K657" s="2" t="str">
        <f t="shared" si="41"/>
        <v/>
      </c>
      <c r="L657" s="3" t="str">
        <f t="shared" si="42"/>
        <v/>
      </c>
      <c r="M657" s="2" t="str">
        <f t="shared" si="43"/>
        <v/>
      </c>
      <c r="N657" t="str">
        <f t="shared" si="44"/>
        <v/>
      </c>
    </row>
    <row r="658" spans="7:14" ht="15.6" thickBot="1" x14ac:dyDescent="0.35">
      <c r="G658" s="10"/>
      <c r="J658" s="8"/>
      <c r="K658" s="2" t="str">
        <f t="shared" si="41"/>
        <v/>
      </c>
      <c r="L658" s="3" t="str">
        <f t="shared" si="42"/>
        <v/>
      </c>
      <c r="M658" s="2" t="str">
        <f t="shared" si="43"/>
        <v/>
      </c>
      <c r="N658" t="str">
        <f t="shared" si="44"/>
        <v/>
      </c>
    </row>
    <row r="659" spans="7:14" ht="15.6" thickBot="1" x14ac:dyDescent="0.35">
      <c r="G659" s="10"/>
      <c r="J659" s="8"/>
      <c r="K659" s="2" t="str">
        <f t="shared" si="41"/>
        <v/>
      </c>
      <c r="L659" s="3" t="str">
        <f t="shared" si="42"/>
        <v/>
      </c>
      <c r="M659" s="2" t="str">
        <f t="shared" si="43"/>
        <v/>
      </c>
      <c r="N659" t="str">
        <f t="shared" si="44"/>
        <v/>
      </c>
    </row>
    <row r="660" spans="7:14" ht="15.6" thickBot="1" x14ac:dyDescent="0.35">
      <c r="G660" s="10"/>
      <c r="J660" s="8"/>
      <c r="K660" s="2" t="str">
        <f t="shared" si="41"/>
        <v/>
      </c>
      <c r="L660" s="3" t="str">
        <f t="shared" si="42"/>
        <v/>
      </c>
      <c r="M660" s="2" t="str">
        <f t="shared" si="43"/>
        <v/>
      </c>
      <c r="N660" t="str">
        <f t="shared" si="44"/>
        <v/>
      </c>
    </row>
    <row r="661" spans="7:14" ht="15.6" thickBot="1" x14ac:dyDescent="0.35">
      <c r="G661" s="10"/>
      <c r="J661" s="8"/>
      <c r="K661" s="2" t="str">
        <f t="shared" si="41"/>
        <v/>
      </c>
      <c r="L661" s="3" t="str">
        <f t="shared" si="42"/>
        <v/>
      </c>
      <c r="M661" s="2" t="str">
        <f t="shared" si="43"/>
        <v/>
      </c>
      <c r="N661" t="str">
        <f t="shared" si="44"/>
        <v/>
      </c>
    </row>
    <row r="662" spans="7:14" ht="15.6" thickBot="1" x14ac:dyDescent="0.35">
      <c r="G662" s="10"/>
      <c r="J662" s="8"/>
      <c r="K662" s="2" t="str">
        <f t="shared" si="41"/>
        <v/>
      </c>
      <c r="L662" s="3" t="str">
        <f t="shared" si="42"/>
        <v/>
      </c>
      <c r="M662" s="2" t="str">
        <f t="shared" si="43"/>
        <v/>
      </c>
      <c r="N662" t="str">
        <f t="shared" si="44"/>
        <v/>
      </c>
    </row>
    <row r="663" spans="7:14" ht="15.6" thickBot="1" x14ac:dyDescent="0.35">
      <c r="G663" s="10"/>
      <c r="J663" s="8"/>
      <c r="K663" s="2" t="str">
        <f t="shared" si="41"/>
        <v/>
      </c>
      <c r="L663" s="3" t="str">
        <f t="shared" si="42"/>
        <v/>
      </c>
      <c r="M663" s="2" t="str">
        <f t="shared" si="43"/>
        <v/>
      </c>
      <c r="N663" t="str">
        <f t="shared" si="44"/>
        <v/>
      </c>
    </row>
    <row r="664" spans="7:14" ht="15.6" thickBot="1" x14ac:dyDescent="0.35">
      <c r="G664" s="10"/>
      <c r="J664" s="8"/>
      <c r="K664" s="2" t="str">
        <f t="shared" si="41"/>
        <v/>
      </c>
      <c r="L664" s="3" t="str">
        <f t="shared" si="42"/>
        <v/>
      </c>
      <c r="M664" s="2" t="str">
        <f t="shared" si="43"/>
        <v/>
      </c>
      <c r="N664" t="str">
        <f t="shared" si="44"/>
        <v/>
      </c>
    </row>
    <row r="665" spans="7:14" ht="15.6" thickBot="1" x14ac:dyDescent="0.35">
      <c r="G665" s="10"/>
      <c r="J665" s="8"/>
      <c r="K665" s="2" t="str">
        <f t="shared" si="41"/>
        <v/>
      </c>
      <c r="L665" s="3" t="str">
        <f t="shared" si="42"/>
        <v/>
      </c>
      <c r="M665" s="2" t="str">
        <f t="shared" si="43"/>
        <v/>
      </c>
      <c r="N665" t="str">
        <f t="shared" si="44"/>
        <v/>
      </c>
    </row>
    <row r="666" spans="7:14" ht="15.6" thickBot="1" x14ac:dyDescent="0.35">
      <c r="G666" s="10"/>
      <c r="J666" s="8"/>
      <c r="K666" s="2" t="str">
        <f t="shared" si="41"/>
        <v/>
      </c>
      <c r="L666" s="3" t="str">
        <f t="shared" si="42"/>
        <v/>
      </c>
      <c r="M666" s="2" t="str">
        <f t="shared" si="43"/>
        <v/>
      </c>
      <c r="N666" t="str">
        <f t="shared" si="44"/>
        <v/>
      </c>
    </row>
    <row r="667" spans="7:14" ht="15.6" thickBot="1" x14ac:dyDescent="0.35">
      <c r="G667" s="10"/>
      <c r="J667" s="8"/>
      <c r="K667" s="2" t="str">
        <f t="shared" si="41"/>
        <v/>
      </c>
      <c r="L667" s="3" t="str">
        <f t="shared" si="42"/>
        <v/>
      </c>
      <c r="M667" s="2" t="str">
        <f t="shared" si="43"/>
        <v/>
      </c>
      <c r="N667" t="str">
        <f t="shared" si="44"/>
        <v/>
      </c>
    </row>
    <row r="668" spans="7:14" ht="15.6" thickBot="1" x14ac:dyDescent="0.35">
      <c r="G668" s="10"/>
      <c r="J668" s="8"/>
      <c r="K668" s="2" t="str">
        <f t="shared" si="41"/>
        <v/>
      </c>
      <c r="L668" s="3" t="str">
        <f t="shared" si="42"/>
        <v/>
      </c>
      <c r="M668" s="2" t="str">
        <f t="shared" si="43"/>
        <v/>
      </c>
      <c r="N668" t="str">
        <f t="shared" si="44"/>
        <v/>
      </c>
    </row>
    <row r="669" spans="7:14" ht="15.6" thickBot="1" x14ac:dyDescent="0.35">
      <c r="G669" s="10"/>
      <c r="J669" s="8"/>
      <c r="K669" s="2" t="str">
        <f t="shared" si="41"/>
        <v/>
      </c>
      <c r="L669" s="3" t="str">
        <f t="shared" si="42"/>
        <v/>
      </c>
      <c r="M669" s="2" t="str">
        <f t="shared" si="43"/>
        <v/>
      </c>
      <c r="N669" t="str">
        <f t="shared" si="44"/>
        <v/>
      </c>
    </row>
    <row r="670" spans="7:14" ht="15.6" thickBot="1" x14ac:dyDescent="0.35">
      <c r="G670" s="10"/>
      <c r="J670" s="8"/>
      <c r="K670" s="2" t="str">
        <f t="shared" si="41"/>
        <v/>
      </c>
      <c r="L670" s="3" t="str">
        <f t="shared" si="42"/>
        <v/>
      </c>
      <c r="M670" s="2" t="str">
        <f t="shared" si="43"/>
        <v/>
      </c>
      <c r="N670" t="str">
        <f t="shared" si="44"/>
        <v/>
      </c>
    </row>
    <row r="671" spans="7:14" ht="15.6" thickBot="1" x14ac:dyDescent="0.35">
      <c r="G671" s="10"/>
      <c r="J671" s="8"/>
      <c r="K671" s="2" t="str">
        <f t="shared" si="41"/>
        <v/>
      </c>
      <c r="L671" s="3" t="str">
        <f t="shared" si="42"/>
        <v/>
      </c>
      <c r="M671" s="2" t="str">
        <f t="shared" si="43"/>
        <v/>
      </c>
      <c r="N671" t="str">
        <f t="shared" si="44"/>
        <v/>
      </c>
    </row>
    <row r="672" spans="7:14" ht="15.6" thickBot="1" x14ac:dyDescent="0.35">
      <c r="G672" s="10"/>
      <c r="J672" s="8"/>
      <c r="K672" s="2" t="str">
        <f t="shared" si="41"/>
        <v/>
      </c>
      <c r="L672" s="3" t="str">
        <f t="shared" si="42"/>
        <v/>
      </c>
      <c r="M672" s="2" t="str">
        <f t="shared" si="43"/>
        <v/>
      </c>
      <c r="N672" t="str">
        <f t="shared" si="44"/>
        <v/>
      </c>
    </row>
    <row r="673" spans="7:14" ht="15.6" thickBot="1" x14ac:dyDescent="0.35">
      <c r="G673" s="10"/>
      <c r="J673" s="8"/>
      <c r="K673" s="2" t="str">
        <f t="shared" si="41"/>
        <v/>
      </c>
      <c r="L673" s="3" t="str">
        <f t="shared" si="42"/>
        <v/>
      </c>
      <c r="M673" s="2" t="str">
        <f t="shared" si="43"/>
        <v/>
      </c>
      <c r="N673" t="str">
        <f t="shared" si="44"/>
        <v/>
      </c>
    </row>
    <row r="674" spans="7:14" ht="15.6" thickBot="1" x14ac:dyDescent="0.35">
      <c r="G674" s="10"/>
      <c r="J674" s="8"/>
      <c r="K674" s="2" t="str">
        <f t="shared" si="41"/>
        <v/>
      </c>
      <c r="L674" s="3" t="str">
        <f t="shared" si="42"/>
        <v/>
      </c>
      <c r="M674" s="2" t="str">
        <f t="shared" si="43"/>
        <v/>
      </c>
      <c r="N674" t="str">
        <f t="shared" si="44"/>
        <v/>
      </c>
    </row>
    <row r="675" spans="7:14" ht="15.6" thickBot="1" x14ac:dyDescent="0.35">
      <c r="G675" s="10"/>
      <c r="J675" s="8"/>
      <c r="K675" s="2" t="str">
        <f t="shared" si="41"/>
        <v/>
      </c>
      <c r="L675" s="3" t="str">
        <f t="shared" si="42"/>
        <v/>
      </c>
      <c r="M675" s="2" t="str">
        <f t="shared" si="43"/>
        <v/>
      </c>
      <c r="N675" t="str">
        <f t="shared" si="44"/>
        <v/>
      </c>
    </row>
    <row r="676" spans="7:14" ht="15.6" thickBot="1" x14ac:dyDescent="0.35">
      <c r="G676" s="10"/>
      <c r="J676" s="8"/>
      <c r="K676" s="2" t="str">
        <f t="shared" si="41"/>
        <v/>
      </c>
      <c r="L676" s="3" t="str">
        <f t="shared" si="42"/>
        <v/>
      </c>
      <c r="M676" s="2" t="str">
        <f t="shared" si="43"/>
        <v/>
      </c>
      <c r="N676" t="str">
        <f t="shared" si="44"/>
        <v/>
      </c>
    </row>
    <row r="677" spans="7:14" ht="15.6" thickBot="1" x14ac:dyDescent="0.35">
      <c r="G677" s="10"/>
      <c r="J677" s="8"/>
      <c r="K677" s="2" t="str">
        <f t="shared" si="41"/>
        <v/>
      </c>
      <c r="L677" s="3" t="str">
        <f t="shared" si="42"/>
        <v/>
      </c>
      <c r="M677" s="2" t="str">
        <f t="shared" si="43"/>
        <v/>
      </c>
      <c r="N677" t="str">
        <f t="shared" si="44"/>
        <v/>
      </c>
    </row>
    <row r="678" spans="7:14" ht="15.6" thickBot="1" x14ac:dyDescent="0.35">
      <c r="G678" s="10"/>
      <c r="J678" s="8"/>
      <c r="K678" s="2" t="str">
        <f t="shared" si="41"/>
        <v/>
      </c>
      <c r="L678" s="3" t="str">
        <f t="shared" si="42"/>
        <v/>
      </c>
      <c r="M678" s="2" t="str">
        <f t="shared" si="43"/>
        <v/>
      </c>
      <c r="N678" t="str">
        <f t="shared" si="44"/>
        <v/>
      </c>
    </row>
    <row r="679" spans="7:14" ht="15.6" thickBot="1" x14ac:dyDescent="0.35">
      <c r="G679" s="10"/>
      <c r="J679" s="8"/>
      <c r="K679" s="2" t="str">
        <f t="shared" si="41"/>
        <v/>
      </c>
      <c r="L679" s="3" t="str">
        <f t="shared" si="42"/>
        <v/>
      </c>
      <c r="M679" s="2" t="str">
        <f t="shared" si="43"/>
        <v/>
      </c>
      <c r="N679" t="str">
        <f t="shared" si="44"/>
        <v/>
      </c>
    </row>
    <row r="680" spans="7:14" ht="15.6" thickBot="1" x14ac:dyDescent="0.35">
      <c r="G680" s="10"/>
      <c r="J680" s="8"/>
      <c r="K680" s="2" t="str">
        <f t="shared" si="41"/>
        <v/>
      </c>
      <c r="L680" s="3" t="str">
        <f t="shared" si="42"/>
        <v/>
      </c>
      <c r="M680" s="2" t="str">
        <f t="shared" si="43"/>
        <v/>
      </c>
      <c r="N680" t="str">
        <f t="shared" si="44"/>
        <v/>
      </c>
    </row>
    <row r="681" spans="7:14" ht="15.6" thickBot="1" x14ac:dyDescent="0.35">
      <c r="G681" s="10"/>
      <c r="J681" s="8"/>
      <c r="K681" s="2" t="str">
        <f t="shared" si="41"/>
        <v/>
      </c>
      <c r="L681" s="3" t="str">
        <f t="shared" si="42"/>
        <v/>
      </c>
      <c r="M681" s="2" t="str">
        <f t="shared" si="43"/>
        <v/>
      </c>
      <c r="N681" t="str">
        <f t="shared" si="44"/>
        <v/>
      </c>
    </row>
    <row r="682" spans="7:14" ht="15.6" thickBot="1" x14ac:dyDescent="0.35">
      <c r="G682" s="10"/>
      <c r="J682" s="8"/>
      <c r="K682" s="2" t="str">
        <f t="shared" si="41"/>
        <v/>
      </c>
      <c r="L682" s="3" t="str">
        <f t="shared" si="42"/>
        <v/>
      </c>
      <c r="M682" s="2" t="str">
        <f t="shared" si="43"/>
        <v/>
      </c>
      <c r="N682" t="str">
        <f t="shared" si="44"/>
        <v/>
      </c>
    </row>
    <row r="683" spans="7:14" ht="15.6" thickBot="1" x14ac:dyDescent="0.35">
      <c r="G683" s="10"/>
      <c r="J683" s="8"/>
      <c r="K683" s="2" t="str">
        <f t="shared" si="41"/>
        <v/>
      </c>
      <c r="L683" s="3" t="str">
        <f t="shared" si="42"/>
        <v/>
      </c>
      <c r="M683" s="2" t="str">
        <f t="shared" si="43"/>
        <v/>
      </c>
      <c r="N683" t="str">
        <f t="shared" si="44"/>
        <v/>
      </c>
    </row>
    <row r="684" spans="7:14" ht="15.6" thickBot="1" x14ac:dyDescent="0.35">
      <c r="G684" s="10"/>
      <c r="J684" s="8"/>
      <c r="K684" s="2" t="str">
        <f t="shared" si="41"/>
        <v/>
      </c>
      <c r="L684" s="3" t="str">
        <f t="shared" si="42"/>
        <v/>
      </c>
      <c r="M684" s="2" t="str">
        <f t="shared" si="43"/>
        <v/>
      </c>
      <c r="N684" t="str">
        <f t="shared" si="44"/>
        <v/>
      </c>
    </row>
    <row r="685" spans="7:14" ht="15.6" thickBot="1" x14ac:dyDescent="0.35">
      <c r="G685" s="10"/>
      <c r="J685" s="8"/>
      <c r="K685" s="2" t="str">
        <f t="shared" si="41"/>
        <v/>
      </c>
      <c r="L685" s="3" t="str">
        <f t="shared" si="42"/>
        <v/>
      </c>
      <c r="M685" s="2" t="str">
        <f t="shared" si="43"/>
        <v/>
      </c>
      <c r="N685" t="str">
        <f t="shared" si="44"/>
        <v/>
      </c>
    </row>
    <row r="686" spans="7:14" ht="15.6" thickBot="1" x14ac:dyDescent="0.35">
      <c r="G686" s="10"/>
      <c r="J686" s="8"/>
      <c r="K686" s="2" t="str">
        <f t="shared" si="41"/>
        <v/>
      </c>
      <c r="L686" s="3" t="str">
        <f t="shared" si="42"/>
        <v/>
      </c>
      <c r="M686" s="2" t="str">
        <f t="shared" si="43"/>
        <v/>
      </c>
      <c r="N686" t="str">
        <f t="shared" si="44"/>
        <v/>
      </c>
    </row>
    <row r="687" spans="7:14" ht="15.6" thickBot="1" x14ac:dyDescent="0.35">
      <c r="G687" s="10"/>
      <c r="J687" s="8"/>
      <c r="K687" s="2" t="str">
        <f t="shared" si="41"/>
        <v/>
      </c>
      <c r="L687" s="3" t="str">
        <f t="shared" si="42"/>
        <v/>
      </c>
      <c r="M687" s="2" t="str">
        <f t="shared" si="43"/>
        <v/>
      </c>
      <c r="N687" t="str">
        <f t="shared" si="44"/>
        <v/>
      </c>
    </row>
    <row r="688" spans="7:14" ht="15.6" thickBot="1" x14ac:dyDescent="0.35">
      <c r="G688" s="10"/>
      <c r="J688" s="8"/>
      <c r="K688" s="2" t="str">
        <f t="shared" si="41"/>
        <v/>
      </c>
      <c r="L688" s="3" t="str">
        <f t="shared" si="42"/>
        <v/>
      </c>
      <c r="M688" s="2" t="str">
        <f t="shared" si="43"/>
        <v/>
      </c>
      <c r="N688" t="str">
        <f t="shared" si="44"/>
        <v/>
      </c>
    </row>
    <row r="689" spans="7:14" ht="15.6" thickBot="1" x14ac:dyDescent="0.35">
      <c r="G689" s="10"/>
      <c r="J689" s="8"/>
      <c r="K689" s="2" t="str">
        <f t="shared" si="41"/>
        <v/>
      </c>
      <c r="L689" s="3" t="str">
        <f t="shared" si="42"/>
        <v/>
      </c>
      <c r="M689" s="2" t="str">
        <f t="shared" si="43"/>
        <v/>
      </c>
      <c r="N689" t="str">
        <f t="shared" si="44"/>
        <v/>
      </c>
    </row>
    <row r="690" spans="7:14" ht="15.6" thickBot="1" x14ac:dyDescent="0.35">
      <c r="G690" s="10"/>
      <c r="J690" s="8"/>
      <c r="K690" s="2" t="str">
        <f t="shared" si="41"/>
        <v/>
      </c>
      <c r="L690" s="3" t="str">
        <f t="shared" si="42"/>
        <v/>
      </c>
      <c r="M690" s="2" t="str">
        <f t="shared" si="43"/>
        <v/>
      </c>
      <c r="N690" t="str">
        <f t="shared" si="44"/>
        <v/>
      </c>
    </row>
    <row r="691" spans="7:14" ht="15.6" thickBot="1" x14ac:dyDescent="0.35">
      <c r="G691" s="10"/>
      <c r="J691" s="8"/>
      <c r="K691" s="2" t="str">
        <f t="shared" si="41"/>
        <v/>
      </c>
      <c r="L691" s="3" t="str">
        <f t="shared" si="42"/>
        <v/>
      </c>
      <c r="M691" s="2" t="str">
        <f t="shared" si="43"/>
        <v/>
      </c>
      <c r="N691" t="str">
        <f t="shared" si="44"/>
        <v/>
      </c>
    </row>
    <row r="692" spans="7:14" ht="15.6" thickBot="1" x14ac:dyDescent="0.35">
      <c r="G692" s="10"/>
      <c r="J692" s="8"/>
      <c r="K692" s="2" t="str">
        <f t="shared" si="41"/>
        <v/>
      </c>
      <c r="L692" s="3" t="str">
        <f t="shared" si="42"/>
        <v/>
      </c>
      <c r="M692" s="2" t="str">
        <f t="shared" si="43"/>
        <v/>
      </c>
      <c r="N692" t="str">
        <f t="shared" si="44"/>
        <v/>
      </c>
    </row>
    <row r="693" spans="7:14" ht="15.6" thickBot="1" x14ac:dyDescent="0.35">
      <c r="G693" s="10"/>
      <c r="J693" s="8"/>
      <c r="K693" s="2" t="str">
        <f t="shared" si="41"/>
        <v/>
      </c>
      <c r="L693" s="3" t="str">
        <f t="shared" si="42"/>
        <v/>
      </c>
      <c r="M693" s="2" t="str">
        <f t="shared" si="43"/>
        <v/>
      </c>
      <c r="N693" t="str">
        <f t="shared" si="44"/>
        <v/>
      </c>
    </row>
    <row r="694" spans="7:14" ht="15.6" thickBot="1" x14ac:dyDescent="0.35">
      <c r="G694" s="10"/>
      <c r="J694" s="8"/>
      <c r="K694" s="2" t="str">
        <f t="shared" si="41"/>
        <v/>
      </c>
      <c r="L694" s="3" t="str">
        <f t="shared" si="42"/>
        <v/>
      </c>
      <c r="M694" s="2" t="str">
        <f t="shared" si="43"/>
        <v/>
      </c>
      <c r="N694" t="str">
        <f t="shared" si="44"/>
        <v/>
      </c>
    </row>
    <row r="695" spans="7:14" ht="15.6" thickBot="1" x14ac:dyDescent="0.35">
      <c r="G695" s="10"/>
      <c r="J695" s="8"/>
      <c r="K695" s="2" t="str">
        <f t="shared" si="41"/>
        <v/>
      </c>
      <c r="L695" s="3" t="str">
        <f t="shared" si="42"/>
        <v/>
      </c>
      <c r="M695" s="2" t="str">
        <f t="shared" si="43"/>
        <v/>
      </c>
      <c r="N695" t="str">
        <f t="shared" si="44"/>
        <v/>
      </c>
    </row>
    <row r="696" spans="7:14" ht="15.6" thickBot="1" x14ac:dyDescent="0.35">
      <c r="G696" s="10"/>
      <c r="J696" s="8"/>
      <c r="K696" s="2" t="str">
        <f t="shared" si="41"/>
        <v/>
      </c>
      <c r="L696" s="3" t="str">
        <f t="shared" si="42"/>
        <v/>
      </c>
      <c r="M696" s="2" t="str">
        <f t="shared" si="43"/>
        <v/>
      </c>
      <c r="N696" t="str">
        <f t="shared" si="44"/>
        <v/>
      </c>
    </row>
    <row r="697" spans="7:14" ht="15.6" thickBot="1" x14ac:dyDescent="0.35">
      <c r="G697" s="10"/>
      <c r="J697" s="8"/>
      <c r="K697" s="2" t="str">
        <f t="shared" si="41"/>
        <v/>
      </c>
      <c r="L697" s="3" t="str">
        <f t="shared" si="42"/>
        <v/>
      </c>
      <c r="M697" s="2" t="str">
        <f t="shared" si="43"/>
        <v/>
      </c>
      <c r="N697" t="str">
        <f t="shared" si="44"/>
        <v/>
      </c>
    </row>
    <row r="698" spans="7:14" ht="15.6" thickBot="1" x14ac:dyDescent="0.35">
      <c r="G698" s="10"/>
      <c r="J698" s="8"/>
      <c r="K698" s="2" t="str">
        <f t="shared" si="41"/>
        <v/>
      </c>
      <c r="L698" s="3" t="str">
        <f t="shared" si="42"/>
        <v/>
      </c>
      <c r="M698" s="2" t="str">
        <f t="shared" si="43"/>
        <v/>
      </c>
      <c r="N698" t="str">
        <f t="shared" si="44"/>
        <v/>
      </c>
    </row>
    <row r="699" spans="7:14" ht="15.6" thickBot="1" x14ac:dyDescent="0.35">
      <c r="G699" s="10"/>
      <c r="J699" s="8"/>
      <c r="K699" s="2" t="str">
        <f t="shared" si="41"/>
        <v/>
      </c>
      <c r="L699" s="3" t="str">
        <f t="shared" si="42"/>
        <v/>
      </c>
      <c r="M699" s="2" t="str">
        <f t="shared" si="43"/>
        <v/>
      </c>
      <c r="N699" t="str">
        <f t="shared" si="44"/>
        <v/>
      </c>
    </row>
    <row r="700" spans="7:14" ht="15.6" thickBot="1" x14ac:dyDescent="0.35">
      <c r="G700" s="10"/>
      <c r="J700" s="8"/>
      <c r="K700" s="2" t="str">
        <f t="shared" si="41"/>
        <v/>
      </c>
      <c r="L700" s="3" t="str">
        <f t="shared" si="42"/>
        <v/>
      </c>
      <c r="M700" s="2" t="str">
        <f t="shared" si="43"/>
        <v/>
      </c>
      <c r="N700" t="str">
        <f t="shared" si="44"/>
        <v/>
      </c>
    </row>
    <row r="701" spans="7:14" ht="15.6" thickBot="1" x14ac:dyDescent="0.35">
      <c r="G701" s="10"/>
      <c r="J701" s="8"/>
      <c r="K701" s="2" t="str">
        <f t="shared" si="41"/>
        <v/>
      </c>
      <c r="L701" s="3" t="str">
        <f t="shared" si="42"/>
        <v/>
      </c>
      <c r="M701" s="2" t="str">
        <f t="shared" si="43"/>
        <v/>
      </c>
      <c r="N701" t="str">
        <f t="shared" si="44"/>
        <v/>
      </c>
    </row>
    <row r="702" spans="7:14" ht="15.6" thickBot="1" x14ac:dyDescent="0.35">
      <c r="G702" s="10"/>
      <c r="J702" s="8"/>
      <c r="K702" s="2" t="str">
        <f t="shared" si="41"/>
        <v/>
      </c>
      <c r="L702" s="3" t="str">
        <f t="shared" si="42"/>
        <v/>
      </c>
      <c r="M702" s="2" t="str">
        <f t="shared" si="43"/>
        <v/>
      </c>
      <c r="N702" t="str">
        <f t="shared" si="44"/>
        <v/>
      </c>
    </row>
    <row r="703" spans="7:14" ht="15.6" thickBot="1" x14ac:dyDescent="0.35">
      <c r="G703" s="10"/>
      <c r="J703" s="8"/>
      <c r="K703" s="2" t="str">
        <f t="shared" si="41"/>
        <v/>
      </c>
      <c r="L703" s="3" t="str">
        <f t="shared" si="42"/>
        <v/>
      </c>
      <c r="M703" s="2" t="str">
        <f t="shared" si="43"/>
        <v/>
      </c>
      <c r="N703" t="str">
        <f t="shared" si="44"/>
        <v/>
      </c>
    </row>
    <row r="704" spans="7:14" ht="15.6" thickBot="1" x14ac:dyDescent="0.35">
      <c r="G704" s="10"/>
      <c r="J704" s="8"/>
      <c r="K704" s="2" t="str">
        <f t="shared" si="41"/>
        <v/>
      </c>
      <c r="L704" s="3" t="str">
        <f t="shared" si="42"/>
        <v/>
      </c>
      <c r="M704" s="2" t="str">
        <f t="shared" si="43"/>
        <v/>
      </c>
      <c r="N704" t="str">
        <f t="shared" si="44"/>
        <v/>
      </c>
    </row>
    <row r="705" spans="7:14" ht="15.6" thickBot="1" x14ac:dyDescent="0.35">
      <c r="G705" s="10"/>
      <c r="J705" s="8"/>
      <c r="K705" s="2" t="str">
        <f t="shared" si="41"/>
        <v/>
      </c>
      <c r="L705" s="3" t="str">
        <f t="shared" si="42"/>
        <v/>
      </c>
      <c r="M705" s="2" t="str">
        <f t="shared" si="43"/>
        <v/>
      </c>
      <c r="N705" t="str">
        <f t="shared" si="44"/>
        <v/>
      </c>
    </row>
    <row r="706" spans="7:14" ht="15.6" thickBot="1" x14ac:dyDescent="0.35">
      <c r="G706" s="10"/>
      <c r="J706" s="8"/>
      <c r="K706" s="2" t="str">
        <f t="shared" si="41"/>
        <v/>
      </c>
      <c r="L706" s="3" t="str">
        <f t="shared" si="42"/>
        <v/>
      </c>
      <c r="M706" s="2" t="str">
        <f t="shared" si="43"/>
        <v/>
      </c>
      <c r="N706" t="str">
        <f t="shared" si="44"/>
        <v/>
      </c>
    </row>
    <row r="707" spans="7:14" ht="15.6" thickBot="1" x14ac:dyDescent="0.35">
      <c r="G707" s="10"/>
      <c r="J707" s="8"/>
      <c r="K707" s="2" t="str">
        <f t="shared" si="41"/>
        <v/>
      </c>
      <c r="L707" s="3" t="str">
        <f t="shared" si="42"/>
        <v/>
      </c>
      <c r="M707" s="2" t="str">
        <f t="shared" si="43"/>
        <v/>
      </c>
      <c r="N707" t="str">
        <f t="shared" si="44"/>
        <v/>
      </c>
    </row>
    <row r="708" spans="7:14" ht="15.6" thickBot="1" x14ac:dyDescent="0.35">
      <c r="G708" s="10"/>
      <c r="J708" s="8"/>
      <c r="K708" s="2" t="str">
        <f t="shared" si="41"/>
        <v/>
      </c>
      <c r="L708" s="3" t="str">
        <f t="shared" si="42"/>
        <v/>
      </c>
      <c r="M708" s="2" t="str">
        <f t="shared" si="43"/>
        <v/>
      </c>
      <c r="N708" t="str">
        <f t="shared" si="44"/>
        <v/>
      </c>
    </row>
    <row r="709" spans="7:14" ht="15.6" thickBot="1" x14ac:dyDescent="0.35">
      <c r="G709" s="10"/>
      <c r="J709" s="8"/>
      <c r="K709" s="2" t="str">
        <f t="shared" ref="K709:K772" si="45">SUBSTITUTE(I709,CHAR(10),"&lt;br&gt;")</f>
        <v/>
      </c>
      <c r="L709" s="3" t="str">
        <f t="shared" ref="L709:L772" si="46">IF(B709="","","{"&amp;$M$1&amp;"no"&amp;$M$1&amp;":"&amp;$M$1&amp;""&amp;B709&amp;""&amp;$M$1&amp;","&amp;$M$1&amp;"name"&amp;$M$1&amp;":"&amp;$M$1&amp;""&amp;C709&amp;""&amp;$M$1&amp;","&amp;$M$1&amp;"category"&amp;$M$1&amp;":"&amp;$M$1&amp;""&amp;D709&amp;""&amp;$M$1&amp;","&amp;$M$1&amp;"price"&amp;$M$1&amp;":"&amp;E709&amp;","&amp;$M$1&amp;"quantity"&amp;$M$1&amp;":"&amp;F709&amp;","&amp;$M$1&amp;"discount"&amp;$M$1&amp;":"&amp;G709*100&amp;","&amp;$M$1&amp;"images"&amp;$M$1&amp;":"&amp;$M$1&amp;""&amp;H709&amp;""&amp;$M$1&amp;","&amp;$M$1&amp;"description"&amp;$M$1&amp;":"&amp;$M$1&amp;""&amp;K709&amp;""&amp;$M$1&amp;"}")</f>
        <v/>
      </c>
      <c r="M709" s="2" t="str">
        <f t="shared" ref="M709:M772" si="47">IF(L710="","",",")</f>
        <v/>
      </c>
      <c r="N709" t="str">
        <f t="shared" si="44"/>
        <v/>
      </c>
    </row>
    <row r="710" spans="7:14" ht="15.6" thickBot="1" x14ac:dyDescent="0.35">
      <c r="G710" s="10"/>
      <c r="J710" s="8"/>
      <c r="K710" s="2" t="str">
        <f t="shared" si="45"/>
        <v/>
      </c>
      <c r="L710" s="3" t="str">
        <f t="shared" si="46"/>
        <v/>
      </c>
      <c r="M710" s="2" t="str">
        <f t="shared" si="47"/>
        <v/>
      </c>
      <c r="N710" t="str">
        <f t="shared" si="44"/>
        <v/>
      </c>
    </row>
    <row r="711" spans="7:14" ht="15.6" thickBot="1" x14ac:dyDescent="0.35">
      <c r="G711" s="10"/>
      <c r="J711" s="8"/>
      <c r="K711" s="2" t="str">
        <f t="shared" si="45"/>
        <v/>
      </c>
      <c r="L711" s="3" t="str">
        <f t="shared" si="46"/>
        <v/>
      </c>
      <c r="M711" s="2" t="str">
        <f t="shared" si="47"/>
        <v/>
      </c>
      <c r="N711" t="str">
        <f t="shared" si="44"/>
        <v/>
      </c>
    </row>
    <row r="712" spans="7:14" ht="15.6" thickBot="1" x14ac:dyDescent="0.35">
      <c r="G712" s="10"/>
      <c r="J712" s="8"/>
      <c r="K712" s="2" t="str">
        <f t="shared" si="45"/>
        <v/>
      </c>
      <c r="L712" s="3" t="str">
        <f t="shared" si="46"/>
        <v/>
      </c>
      <c r="M712" s="2" t="str">
        <f t="shared" si="47"/>
        <v/>
      </c>
      <c r="N712" t="str">
        <f t="shared" si="44"/>
        <v/>
      </c>
    </row>
    <row r="713" spans="7:14" ht="15.6" thickBot="1" x14ac:dyDescent="0.35">
      <c r="G713" s="10"/>
      <c r="J713" s="8"/>
      <c r="K713" s="2" t="str">
        <f t="shared" si="45"/>
        <v/>
      </c>
      <c r="L713" s="3" t="str">
        <f t="shared" si="46"/>
        <v/>
      </c>
      <c r="M713" s="2" t="str">
        <f t="shared" si="47"/>
        <v/>
      </c>
      <c r="N713" t="str">
        <f t="shared" ref="N713:N776" si="48">_xlfn.CONCAT(L713,M713)</f>
        <v/>
      </c>
    </row>
    <row r="714" spans="7:14" ht="15.6" thickBot="1" x14ac:dyDescent="0.35">
      <c r="G714" s="10"/>
      <c r="J714" s="8"/>
      <c r="K714" s="2" t="str">
        <f t="shared" si="45"/>
        <v/>
      </c>
      <c r="L714" s="3" t="str">
        <f t="shared" si="46"/>
        <v/>
      </c>
      <c r="M714" s="2" t="str">
        <f t="shared" si="47"/>
        <v/>
      </c>
      <c r="N714" t="str">
        <f t="shared" si="48"/>
        <v/>
      </c>
    </row>
    <row r="715" spans="7:14" ht="15.6" thickBot="1" x14ac:dyDescent="0.35">
      <c r="G715" s="10"/>
      <c r="J715" s="8"/>
      <c r="K715" s="2" t="str">
        <f t="shared" si="45"/>
        <v/>
      </c>
      <c r="L715" s="3" t="str">
        <f t="shared" si="46"/>
        <v/>
      </c>
      <c r="M715" s="2" t="str">
        <f t="shared" si="47"/>
        <v/>
      </c>
      <c r="N715" t="str">
        <f t="shared" si="48"/>
        <v/>
      </c>
    </row>
    <row r="716" spans="7:14" ht="15.6" thickBot="1" x14ac:dyDescent="0.35">
      <c r="G716" s="10"/>
      <c r="J716" s="8"/>
      <c r="K716" s="2" t="str">
        <f t="shared" si="45"/>
        <v/>
      </c>
      <c r="L716" s="3" t="str">
        <f t="shared" si="46"/>
        <v/>
      </c>
      <c r="M716" s="2" t="str">
        <f t="shared" si="47"/>
        <v/>
      </c>
      <c r="N716" t="str">
        <f t="shared" si="48"/>
        <v/>
      </c>
    </row>
    <row r="717" spans="7:14" ht="15.6" thickBot="1" x14ac:dyDescent="0.35">
      <c r="G717" s="10"/>
      <c r="J717" s="8"/>
      <c r="K717" s="2" t="str">
        <f t="shared" si="45"/>
        <v/>
      </c>
      <c r="L717" s="3" t="str">
        <f t="shared" si="46"/>
        <v/>
      </c>
      <c r="M717" s="2" t="str">
        <f t="shared" si="47"/>
        <v/>
      </c>
      <c r="N717" t="str">
        <f t="shared" si="48"/>
        <v/>
      </c>
    </row>
    <row r="718" spans="7:14" ht="15.6" thickBot="1" x14ac:dyDescent="0.35">
      <c r="G718" s="10"/>
      <c r="J718" s="8"/>
      <c r="K718" s="2" t="str">
        <f t="shared" si="45"/>
        <v/>
      </c>
      <c r="L718" s="3" t="str">
        <f t="shared" si="46"/>
        <v/>
      </c>
      <c r="M718" s="2" t="str">
        <f t="shared" si="47"/>
        <v/>
      </c>
      <c r="N718" t="str">
        <f t="shared" si="48"/>
        <v/>
      </c>
    </row>
    <row r="719" spans="7:14" ht="15.6" thickBot="1" x14ac:dyDescent="0.35">
      <c r="G719" s="10"/>
      <c r="J719" s="8"/>
      <c r="K719" s="2" t="str">
        <f t="shared" si="45"/>
        <v/>
      </c>
      <c r="L719" s="3" t="str">
        <f t="shared" si="46"/>
        <v/>
      </c>
      <c r="M719" s="2" t="str">
        <f t="shared" si="47"/>
        <v/>
      </c>
      <c r="N719" t="str">
        <f t="shared" si="48"/>
        <v/>
      </c>
    </row>
    <row r="720" spans="7:14" ht="15.6" thickBot="1" x14ac:dyDescent="0.35">
      <c r="G720" s="10"/>
      <c r="J720" s="8"/>
      <c r="K720" s="2" t="str">
        <f t="shared" si="45"/>
        <v/>
      </c>
      <c r="L720" s="3" t="str">
        <f t="shared" si="46"/>
        <v/>
      </c>
      <c r="M720" s="2" t="str">
        <f t="shared" si="47"/>
        <v/>
      </c>
      <c r="N720" t="str">
        <f t="shared" si="48"/>
        <v/>
      </c>
    </row>
    <row r="721" spans="7:14" ht="15.6" thickBot="1" x14ac:dyDescent="0.35">
      <c r="G721" s="10"/>
      <c r="J721" s="8"/>
      <c r="K721" s="2" t="str">
        <f t="shared" si="45"/>
        <v/>
      </c>
      <c r="L721" s="3" t="str">
        <f t="shared" si="46"/>
        <v/>
      </c>
      <c r="M721" s="2" t="str">
        <f t="shared" si="47"/>
        <v/>
      </c>
      <c r="N721" t="str">
        <f t="shared" si="48"/>
        <v/>
      </c>
    </row>
    <row r="722" spans="7:14" ht="15.6" thickBot="1" x14ac:dyDescent="0.35">
      <c r="G722" s="10"/>
      <c r="J722" s="8"/>
      <c r="K722" s="2" t="str">
        <f t="shared" si="45"/>
        <v/>
      </c>
      <c r="L722" s="3" t="str">
        <f t="shared" si="46"/>
        <v/>
      </c>
      <c r="M722" s="2" t="str">
        <f t="shared" si="47"/>
        <v/>
      </c>
      <c r="N722" t="str">
        <f t="shared" si="48"/>
        <v/>
      </c>
    </row>
    <row r="723" spans="7:14" ht="15.6" thickBot="1" x14ac:dyDescent="0.35">
      <c r="G723" s="10"/>
      <c r="J723" s="8"/>
      <c r="K723" s="2" t="str">
        <f t="shared" si="45"/>
        <v/>
      </c>
      <c r="L723" s="3" t="str">
        <f t="shared" si="46"/>
        <v/>
      </c>
      <c r="M723" s="2" t="str">
        <f t="shared" si="47"/>
        <v/>
      </c>
      <c r="N723" t="str">
        <f t="shared" si="48"/>
        <v/>
      </c>
    </row>
    <row r="724" spans="7:14" ht="15.6" thickBot="1" x14ac:dyDescent="0.35">
      <c r="G724" s="10"/>
      <c r="J724" s="8"/>
      <c r="K724" s="2" t="str">
        <f t="shared" si="45"/>
        <v/>
      </c>
      <c r="L724" s="3" t="str">
        <f t="shared" si="46"/>
        <v/>
      </c>
      <c r="M724" s="2" t="str">
        <f t="shared" si="47"/>
        <v/>
      </c>
      <c r="N724" t="str">
        <f t="shared" si="48"/>
        <v/>
      </c>
    </row>
    <row r="725" spans="7:14" ht="15.6" thickBot="1" x14ac:dyDescent="0.35">
      <c r="G725" s="10"/>
      <c r="J725" s="8"/>
      <c r="K725" s="2" t="str">
        <f t="shared" si="45"/>
        <v/>
      </c>
      <c r="L725" s="3" t="str">
        <f t="shared" si="46"/>
        <v/>
      </c>
      <c r="M725" s="2" t="str">
        <f t="shared" si="47"/>
        <v/>
      </c>
      <c r="N725" t="str">
        <f t="shared" si="48"/>
        <v/>
      </c>
    </row>
    <row r="726" spans="7:14" ht="15.6" thickBot="1" x14ac:dyDescent="0.35">
      <c r="G726" s="10"/>
      <c r="J726" s="8"/>
      <c r="K726" s="2" t="str">
        <f t="shared" si="45"/>
        <v/>
      </c>
      <c r="L726" s="3" t="str">
        <f t="shared" si="46"/>
        <v/>
      </c>
      <c r="M726" s="2" t="str">
        <f t="shared" si="47"/>
        <v/>
      </c>
      <c r="N726" t="str">
        <f t="shared" si="48"/>
        <v/>
      </c>
    </row>
    <row r="727" spans="7:14" ht="15.6" thickBot="1" x14ac:dyDescent="0.35">
      <c r="G727" s="10"/>
      <c r="J727" s="8"/>
      <c r="K727" s="2" t="str">
        <f t="shared" si="45"/>
        <v/>
      </c>
      <c r="L727" s="3" t="str">
        <f t="shared" si="46"/>
        <v/>
      </c>
      <c r="M727" s="2" t="str">
        <f t="shared" si="47"/>
        <v/>
      </c>
      <c r="N727" t="str">
        <f t="shared" si="48"/>
        <v/>
      </c>
    </row>
    <row r="728" spans="7:14" ht="15.6" thickBot="1" x14ac:dyDescent="0.35">
      <c r="G728" s="10"/>
      <c r="J728" s="8"/>
      <c r="K728" s="2" t="str">
        <f t="shared" si="45"/>
        <v/>
      </c>
      <c r="L728" s="3" t="str">
        <f t="shared" si="46"/>
        <v/>
      </c>
      <c r="M728" s="2" t="str">
        <f t="shared" si="47"/>
        <v/>
      </c>
      <c r="N728" t="str">
        <f t="shared" si="48"/>
        <v/>
      </c>
    </row>
    <row r="729" spans="7:14" ht="15.6" thickBot="1" x14ac:dyDescent="0.35">
      <c r="G729" s="10"/>
      <c r="J729" s="8"/>
      <c r="K729" s="2" t="str">
        <f t="shared" si="45"/>
        <v/>
      </c>
      <c r="L729" s="3" t="str">
        <f t="shared" si="46"/>
        <v/>
      </c>
      <c r="M729" s="2" t="str">
        <f t="shared" si="47"/>
        <v/>
      </c>
      <c r="N729" t="str">
        <f t="shared" si="48"/>
        <v/>
      </c>
    </row>
    <row r="730" spans="7:14" ht="15.6" thickBot="1" x14ac:dyDescent="0.35">
      <c r="G730" s="10"/>
      <c r="J730" s="8"/>
      <c r="K730" s="2" t="str">
        <f t="shared" si="45"/>
        <v/>
      </c>
      <c r="L730" s="3" t="str">
        <f t="shared" si="46"/>
        <v/>
      </c>
      <c r="M730" s="2" t="str">
        <f t="shared" si="47"/>
        <v/>
      </c>
      <c r="N730" t="str">
        <f t="shared" si="48"/>
        <v/>
      </c>
    </row>
    <row r="731" spans="7:14" ht="15.6" thickBot="1" x14ac:dyDescent="0.35">
      <c r="G731" s="10"/>
      <c r="J731" s="8"/>
      <c r="K731" s="2" t="str">
        <f t="shared" si="45"/>
        <v/>
      </c>
      <c r="L731" s="3" t="str">
        <f t="shared" si="46"/>
        <v/>
      </c>
      <c r="M731" s="2" t="str">
        <f t="shared" si="47"/>
        <v/>
      </c>
      <c r="N731" t="str">
        <f t="shared" si="48"/>
        <v/>
      </c>
    </row>
    <row r="732" spans="7:14" ht="15.6" thickBot="1" x14ac:dyDescent="0.35">
      <c r="G732" s="10"/>
      <c r="J732" s="8"/>
      <c r="K732" s="2" t="str">
        <f t="shared" si="45"/>
        <v/>
      </c>
      <c r="L732" s="3" t="str">
        <f t="shared" si="46"/>
        <v/>
      </c>
      <c r="M732" s="2" t="str">
        <f t="shared" si="47"/>
        <v/>
      </c>
      <c r="N732" t="str">
        <f t="shared" si="48"/>
        <v/>
      </c>
    </row>
    <row r="733" spans="7:14" ht="15.6" thickBot="1" x14ac:dyDescent="0.35">
      <c r="G733" s="10"/>
      <c r="J733" s="8"/>
      <c r="K733" s="2" t="str">
        <f t="shared" si="45"/>
        <v/>
      </c>
      <c r="L733" s="3" t="str">
        <f t="shared" si="46"/>
        <v/>
      </c>
      <c r="M733" s="2" t="str">
        <f t="shared" si="47"/>
        <v/>
      </c>
      <c r="N733" t="str">
        <f t="shared" si="48"/>
        <v/>
      </c>
    </row>
    <row r="734" spans="7:14" ht="15.6" thickBot="1" x14ac:dyDescent="0.35">
      <c r="G734" s="10"/>
      <c r="J734" s="8"/>
      <c r="K734" s="2" t="str">
        <f t="shared" si="45"/>
        <v/>
      </c>
      <c r="L734" s="3" t="str">
        <f t="shared" si="46"/>
        <v/>
      </c>
      <c r="M734" s="2" t="str">
        <f t="shared" si="47"/>
        <v/>
      </c>
      <c r="N734" t="str">
        <f t="shared" si="48"/>
        <v/>
      </c>
    </row>
    <row r="735" spans="7:14" ht="15.6" thickBot="1" x14ac:dyDescent="0.35">
      <c r="G735" s="10"/>
      <c r="J735" s="8"/>
      <c r="K735" s="2" t="str">
        <f t="shared" si="45"/>
        <v/>
      </c>
      <c r="L735" s="3" t="str">
        <f t="shared" si="46"/>
        <v/>
      </c>
      <c r="M735" s="2" t="str">
        <f t="shared" si="47"/>
        <v/>
      </c>
      <c r="N735" t="str">
        <f t="shared" si="48"/>
        <v/>
      </c>
    </row>
    <row r="736" spans="7:14" ht="15.6" thickBot="1" x14ac:dyDescent="0.35">
      <c r="G736" s="10"/>
      <c r="J736" s="8"/>
      <c r="K736" s="2" t="str">
        <f t="shared" si="45"/>
        <v/>
      </c>
      <c r="L736" s="3" t="str">
        <f t="shared" si="46"/>
        <v/>
      </c>
      <c r="M736" s="2" t="str">
        <f t="shared" si="47"/>
        <v/>
      </c>
      <c r="N736" t="str">
        <f t="shared" si="48"/>
        <v/>
      </c>
    </row>
    <row r="737" spans="7:14" ht="15.6" thickBot="1" x14ac:dyDescent="0.35">
      <c r="G737" s="10"/>
      <c r="J737" s="8"/>
      <c r="K737" s="2" t="str">
        <f t="shared" si="45"/>
        <v/>
      </c>
      <c r="L737" s="3" t="str">
        <f t="shared" si="46"/>
        <v/>
      </c>
      <c r="M737" s="2" t="str">
        <f t="shared" si="47"/>
        <v/>
      </c>
      <c r="N737" t="str">
        <f t="shared" si="48"/>
        <v/>
      </c>
    </row>
    <row r="738" spans="7:14" ht="15.6" thickBot="1" x14ac:dyDescent="0.35">
      <c r="G738" s="10"/>
      <c r="J738" s="8"/>
      <c r="K738" s="2" t="str">
        <f t="shared" si="45"/>
        <v/>
      </c>
      <c r="L738" s="3" t="str">
        <f t="shared" si="46"/>
        <v/>
      </c>
      <c r="M738" s="2" t="str">
        <f t="shared" si="47"/>
        <v/>
      </c>
      <c r="N738" t="str">
        <f t="shared" si="48"/>
        <v/>
      </c>
    </row>
    <row r="739" spans="7:14" ht="15.6" thickBot="1" x14ac:dyDescent="0.35">
      <c r="G739" s="10"/>
      <c r="J739" s="8"/>
      <c r="K739" s="2" t="str">
        <f t="shared" si="45"/>
        <v/>
      </c>
      <c r="L739" s="3" t="str">
        <f t="shared" si="46"/>
        <v/>
      </c>
      <c r="M739" s="2" t="str">
        <f t="shared" si="47"/>
        <v/>
      </c>
      <c r="N739" t="str">
        <f t="shared" si="48"/>
        <v/>
      </c>
    </row>
    <row r="740" spans="7:14" ht="15.6" thickBot="1" x14ac:dyDescent="0.35">
      <c r="G740" s="10"/>
      <c r="J740" s="8"/>
      <c r="K740" s="2" t="str">
        <f t="shared" si="45"/>
        <v/>
      </c>
      <c r="L740" s="3" t="str">
        <f t="shared" si="46"/>
        <v/>
      </c>
      <c r="M740" s="2" t="str">
        <f t="shared" si="47"/>
        <v/>
      </c>
      <c r="N740" t="str">
        <f t="shared" si="48"/>
        <v/>
      </c>
    </row>
    <row r="741" spans="7:14" ht="15.6" thickBot="1" x14ac:dyDescent="0.35">
      <c r="G741" s="10"/>
      <c r="J741" s="8"/>
      <c r="K741" s="2" t="str">
        <f t="shared" si="45"/>
        <v/>
      </c>
      <c r="L741" s="3" t="str">
        <f t="shared" si="46"/>
        <v/>
      </c>
      <c r="M741" s="2" t="str">
        <f t="shared" si="47"/>
        <v/>
      </c>
      <c r="N741" t="str">
        <f t="shared" si="48"/>
        <v/>
      </c>
    </row>
    <row r="742" spans="7:14" ht="15.6" thickBot="1" x14ac:dyDescent="0.35">
      <c r="G742" s="10"/>
      <c r="J742" s="8"/>
      <c r="K742" s="2" t="str">
        <f t="shared" si="45"/>
        <v/>
      </c>
      <c r="L742" s="3" t="str">
        <f t="shared" si="46"/>
        <v/>
      </c>
      <c r="M742" s="2" t="str">
        <f t="shared" si="47"/>
        <v/>
      </c>
      <c r="N742" t="str">
        <f t="shared" si="48"/>
        <v/>
      </c>
    </row>
    <row r="743" spans="7:14" ht="15.6" thickBot="1" x14ac:dyDescent="0.35">
      <c r="G743" s="10"/>
      <c r="J743" s="8"/>
      <c r="K743" s="2" t="str">
        <f t="shared" si="45"/>
        <v/>
      </c>
      <c r="L743" s="3" t="str">
        <f t="shared" si="46"/>
        <v/>
      </c>
      <c r="M743" s="2" t="str">
        <f t="shared" si="47"/>
        <v/>
      </c>
      <c r="N743" t="str">
        <f t="shared" si="48"/>
        <v/>
      </c>
    </row>
    <row r="744" spans="7:14" ht="15.6" thickBot="1" x14ac:dyDescent="0.35">
      <c r="G744" s="10"/>
      <c r="J744" s="8"/>
      <c r="K744" s="2" t="str">
        <f t="shared" si="45"/>
        <v/>
      </c>
      <c r="L744" s="3" t="str">
        <f t="shared" si="46"/>
        <v/>
      </c>
      <c r="M744" s="2" t="str">
        <f t="shared" si="47"/>
        <v/>
      </c>
      <c r="N744" t="str">
        <f t="shared" si="48"/>
        <v/>
      </c>
    </row>
    <row r="745" spans="7:14" ht="15.6" thickBot="1" x14ac:dyDescent="0.35">
      <c r="G745" s="10"/>
      <c r="J745" s="8"/>
      <c r="K745" s="2" t="str">
        <f t="shared" si="45"/>
        <v/>
      </c>
      <c r="L745" s="3" t="str">
        <f t="shared" si="46"/>
        <v/>
      </c>
      <c r="M745" s="2" t="str">
        <f t="shared" si="47"/>
        <v/>
      </c>
      <c r="N745" t="str">
        <f t="shared" si="48"/>
        <v/>
      </c>
    </row>
    <row r="746" spans="7:14" ht="15.6" thickBot="1" x14ac:dyDescent="0.35">
      <c r="G746" s="10"/>
      <c r="J746" s="8"/>
      <c r="K746" s="2" t="str">
        <f t="shared" si="45"/>
        <v/>
      </c>
      <c r="L746" s="3" t="str">
        <f t="shared" si="46"/>
        <v/>
      </c>
      <c r="M746" s="2" t="str">
        <f t="shared" si="47"/>
        <v/>
      </c>
      <c r="N746" t="str">
        <f t="shared" si="48"/>
        <v/>
      </c>
    </row>
    <row r="747" spans="7:14" ht="15.6" thickBot="1" x14ac:dyDescent="0.35">
      <c r="G747" s="10"/>
      <c r="J747" s="8"/>
      <c r="K747" s="2" t="str">
        <f t="shared" si="45"/>
        <v/>
      </c>
      <c r="L747" s="3" t="str">
        <f t="shared" si="46"/>
        <v/>
      </c>
      <c r="M747" s="2" t="str">
        <f t="shared" si="47"/>
        <v/>
      </c>
      <c r="N747" t="str">
        <f t="shared" si="48"/>
        <v/>
      </c>
    </row>
    <row r="748" spans="7:14" ht="15.6" thickBot="1" x14ac:dyDescent="0.35">
      <c r="G748" s="10"/>
      <c r="J748" s="8"/>
      <c r="K748" s="2" t="str">
        <f t="shared" si="45"/>
        <v/>
      </c>
      <c r="L748" s="3" t="str">
        <f t="shared" si="46"/>
        <v/>
      </c>
      <c r="M748" s="2" t="str">
        <f t="shared" si="47"/>
        <v/>
      </c>
      <c r="N748" t="str">
        <f t="shared" si="48"/>
        <v/>
      </c>
    </row>
    <row r="749" spans="7:14" ht="15.6" thickBot="1" x14ac:dyDescent="0.35">
      <c r="G749" s="10"/>
      <c r="J749" s="8"/>
      <c r="K749" s="2" t="str">
        <f t="shared" si="45"/>
        <v/>
      </c>
      <c r="L749" s="3" t="str">
        <f t="shared" si="46"/>
        <v/>
      </c>
      <c r="M749" s="2" t="str">
        <f t="shared" si="47"/>
        <v/>
      </c>
      <c r="N749" t="str">
        <f t="shared" si="48"/>
        <v/>
      </c>
    </row>
    <row r="750" spans="7:14" ht="15.6" thickBot="1" x14ac:dyDescent="0.35">
      <c r="G750" s="10"/>
      <c r="J750" s="8"/>
      <c r="K750" s="2" t="str">
        <f t="shared" si="45"/>
        <v/>
      </c>
      <c r="L750" s="3" t="str">
        <f t="shared" si="46"/>
        <v/>
      </c>
      <c r="M750" s="2" t="str">
        <f t="shared" si="47"/>
        <v/>
      </c>
      <c r="N750" t="str">
        <f t="shared" si="48"/>
        <v/>
      </c>
    </row>
    <row r="751" spans="7:14" ht="15.6" thickBot="1" x14ac:dyDescent="0.35">
      <c r="G751" s="10"/>
      <c r="J751" s="8"/>
      <c r="K751" s="2" t="str">
        <f t="shared" si="45"/>
        <v/>
      </c>
      <c r="L751" s="3" t="str">
        <f t="shared" si="46"/>
        <v/>
      </c>
      <c r="M751" s="2" t="str">
        <f t="shared" si="47"/>
        <v/>
      </c>
      <c r="N751" t="str">
        <f t="shared" si="48"/>
        <v/>
      </c>
    </row>
    <row r="752" spans="7:14" ht="15.6" thickBot="1" x14ac:dyDescent="0.35">
      <c r="G752" s="10"/>
      <c r="J752" s="8"/>
      <c r="K752" s="2" t="str">
        <f t="shared" si="45"/>
        <v/>
      </c>
      <c r="L752" s="3" t="str">
        <f t="shared" si="46"/>
        <v/>
      </c>
      <c r="M752" s="2" t="str">
        <f t="shared" si="47"/>
        <v/>
      </c>
      <c r="N752" t="str">
        <f t="shared" si="48"/>
        <v/>
      </c>
    </row>
    <row r="753" spans="7:14" ht="15.6" thickBot="1" x14ac:dyDescent="0.35">
      <c r="G753" s="10"/>
      <c r="J753" s="8"/>
      <c r="K753" s="2" t="str">
        <f t="shared" si="45"/>
        <v/>
      </c>
      <c r="L753" s="3" t="str">
        <f t="shared" si="46"/>
        <v/>
      </c>
      <c r="M753" s="2" t="str">
        <f t="shared" si="47"/>
        <v/>
      </c>
      <c r="N753" t="str">
        <f t="shared" si="48"/>
        <v/>
      </c>
    </row>
    <row r="754" spans="7:14" ht="15.6" thickBot="1" x14ac:dyDescent="0.35">
      <c r="G754" s="10"/>
      <c r="J754" s="8"/>
      <c r="K754" s="2" t="str">
        <f t="shared" si="45"/>
        <v/>
      </c>
      <c r="L754" s="3" t="str">
        <f t="shared" si="46"/>
        <v/>
      </c>
      <c r="M754" s="2" t="str">
        <f t="shared" si="47"/>
        <v/>
      </c>
      <c r="N754" t="str">
        <f t="shared" si="48"/>
        <v/>
      </c>
    </row>
    <row r="755" spans="7:14" ht="15.6" thickBot="1" x14ac:dyDescent="0.35">
      <c r="G755" s="10"/>
      <c r="J755" s="8"/>
      <c r="K755" s="2" t="str">
        <f t="shared" si="45"/>
        <v/>
      </c>
      <c r="L755" s="3" t="str">
        <f t="shared" si="46"/>
        <v/>
      </c>
      <c r="M755" s="2" t="str">
        <f t="shared" si="47"/>
        <v/>
      </c>
      <c r="N755" t="str">
        <f t="shared" si="48"/>
        <v/>
      </c>
    </row>
    <row r="756" spans="7:14" ht="15.6" thickBot="1" x14ac:dyDescent="0.35">
      <c r="G756" s="10"/>
      <c r="J756" s="8"/>
      <c r="K756" s="2" t="str">
        <f t="shared" si="45"/>
        <v/>
      </c>
      <c r="L756" s="3" t="str">
        <f t="shared" si="46"/>
        <v/>
      </c>
      <c r="M756" s="2" t="str">
        <f t="shared" si="47"/>
        <v/>
      </c>
      <c r="N756" t="str">
        <f t="shared" si="48"/>
        <v/>
      </c>
    </row>
    <row r="757" spans="7:14" ht="15.6" thickBot="1" x14ac:dyDescent="0.35">
      <c r="G757" s="10"/>
      <c r="J757" s="8"/>
      <c r="K757" s="2" t="str">
        <f t="shared" si="45"/>
        <v/>
      </c>
      <c r="L757" s="3" t="str">
        <f t="shared" si="46"/>
        <v/>
      </c>
      <c r="M757" s="2" t="str">
        <f t="shared" si="47"/>
        <v/>
      </c>
      <c r="N757" t="str">
        <f t="shared" si="48"/>
        <v/>
      </c>
    </row>
    <row r="758" spans="7:14" ht="15.6" thickBot="1" x14ac:dyDescent="0.35">
      <c r="G758" s="10"/>
      <c r="J758" s="8"/>
      <c r="K758" s="2" t="str">
        <f t="shared" si="45"/>
        <v/>
      </c>
      <c r="L758" s="3" t="str">
        <f t="shared" si="46"/>
        <v/>
      </c>
      <c r="M758" s="2" t="str">
        <f t="shared" si="47"/>
        <v/>
      </c>
      <c r="N758" t="str">
        <f t="shared" si="48"/>
        <v/>
      </c>
    </row>
    <row r="759" spans="7:14" ht="15.6" thickBot="1" x14ac:dyDescent="0.35">
      <c r="G759" s="10"/>
      <c r="J759" s="8"/>
      <c r="K759" s="2" t="str">
        <f t="shared" si="45"/>
        <v/>
      </c>
      <c r="L759" s="3" t="str">
        <f t="shared" si="46"/>
        <v/>
      </c>
      <c r="M759" s="2" t="str">
        <f t="shared" si="47"/>
        <v/>
      </c>
      <c r="N759" t="str">
        <f t="shared" si="48"/>
        <v/>
      </c>
    </row>
    <row r="760" spans="7:14" ht="15.6" thickBot="1" x14ac:dyDescent="0.35">
      <c r="G760" s="10"/>
      <c r="J760" s="8"/>
      <c r="K760" s="2" t="str">
        <f t="shared" si="45"/>
        <v/>
      </c>
      <c r="L760" s="3" t="str">
        <f t="shared" si="46"/>
        <v/>
      </c>
      <c r="M760" s="2" t="str">
        <f t="shared" si="47"/>
        <v/>
      </c>
      <c r="N760" t="str">
        <f t="shared" si="48"/>
        <v/>
      </c>
    </row>
    <row r="761" spans="7:14" ht="15.6" thickBot="1" x14ac:dyDescent="0.35">
      <c r="G761" s="10"/>
      <c r="J761" s="8"/>
      <c r="K761" s="2" t="str">
        <f t="shared" si="45"/>
        <v/>
      </c>
      <c r="L761" s="3" t="str">
        <f t="shared" si="46"/>
        <v/>
      </c>
      <c r="M761" s="2" t="str">
        <f t="shared" si="47"/>
        <v/>
      </c>
      <c r="N761" t="str">
        <f t="shared" si="48"/>
        <v/>
      </c>
    </row>
    <row r="762" spans="7:14" ht="15.6" thickBot="1" x14ac:dyDescent="0.35">
      <c r="G762" s="10"/>
      <c r="J762" s="8"/>
      <c r="K762" s="2" t="str">
        <f t="shared" si="45"/>
        <v/>
      </c>
      <c r="L762" s="3" t="str">
        <f t="shared" si="46"/>
        <v/>
      </c>
      <c r="M762" s="2" t="str">
        <f t="shared" si="47"/>
        <v/>
      </c>
      <c r="N762" t="str">
        <f t="shared" si="48"/>
        <v/>
      </c>
    </row>
    <row r="763" spans="7:14" ht="15.6" thickBot="1" x14ac:dyDescent="0.35">
      <c r="G763" s="10"/>
      <c r="J763" s="8"/>
      <c r="K763" s="2" t="str">
        <f t="shared" si="45"/>
        <v/>
      </c>
      <c r="L763" s="3" t="str">
        <f t="shared" si="46"/>
        <v/>
      </c>
      <c r="M763" s="2" t="str">
        <f t="shared" si="47"/>
        <v/>
      </c>
      <c r="N763" t="str">
        <f t="shared" si="48"/>
        <v/>
      </c>
    </row>
    <row r="764" spans="7:14" ht="15.6" thickBot="1" x14ac:dyDescent="0.35">
      <c r="G764" s="10"/>
      <c r="J764" s="8"/>
      <c r="K764" s="2" t="str">
        <f t="shared" si="45"/>
        <v/>
      </c>
      <c r="L764" s="3" t="str">
        <f t="shared" si="46"/>
        <v/>
      </c>
      <c r="M764" s="2" t="str">
        <f t="shared" si="47"/>
        <v/>
      </c>
      <c r="N764" t="str">
        <f t="shared" si="48"/>
        <v/>
      </c>
    </row>
    <row r="765" spans="7:14" ht="15.6" thickBot="1" x14ac:dyDescent="0.35">
      <c r="G765" s="10"/>
      <c r="J765" s="8"/>
      <c r="K765" s="2" t="str">
        <f t="shared" si="45"/>
        <v/>
      </c>
      <c r="L765" s="3" t="str">
        <f t="shared" si="46"/>
        <v/>
      </c>
      <c r="M765" s="2" t="str">
        <f t="shared" si="47"/>
        <v/>
      </c>
      <c r="N765" t="str">
        <f t="shared" si="48"/>
        <v/>
      </c>
    </row>
    <row r="766" spans="7:14" ht="15.6" thickBot="1" x14ac:dyDescent="0.35">
      <c r="G766" s="10"/>
      <c r="J766" s="8"/>
      <c r="K766" s="2" t="str">
        <f t="shared" si="45"/>
        <v/>
      </c>
      <c r="L766" s="3" t="str">
        <f t="shared" si="46"/>
        <v/>
      </c>
      <c r="M766" s="2" t="str">
        <f t="shared" si="47"/>
        <v/>
      </c>
      <c r="N766" t="str">
        <f t="shared" si="48"/>
        <v/>
      </c>
    </row>
    <row r="767" spans="7:14" ht="15.6" thickBot="1" x14ac:dyDescent="0.35">
      <c r="G767" s="10"/>
      <c r="J767" s="8"/>
      <c r="K767" s="2" t="str">
        <f t="shared" si="45"/>
        <v/>
      </c>
      <c r="L767" s="3" t="str">
        <f t="shared" si="46"/>
        <v/>
      </c>
      <c r="M767" s="2" t="str">
        <f t="shared" si="47"/>
        <v/>
      </c>
      <c r="N767" t="str">
        <f t="shared" si="48"/>
        <v/>
      </c>
    </row>
    <row r="768" spans="7:14" ht="15.6" thickBot="1" x14ac:dyDescent="0.35">
      <c r="G768" s="10"/>
      <c r="J768" s="8"/>
      <c r="K768" s="2" t="str">
        <f t="shared" si="45"/>
        <v/>
      </c>
      <c r="L768" s="3" t="str">
        <f t="shared" si="46"/>
        <v/>
      </c>
      <c r="M768" s="2" t="str">
        <f t="shared" si="47"/>
        <v/>
      </c>
      <c r="N768" t="str">
        <f t="shared" si="48"/>
        <v/>
      </c>
    </row>
    <row r="769" spans="7:14" ht="15.6" thickBot="1" x14ac:dyDescent="0.35">
      <c r="G769" s="10"/>
      <c r="J769" s="8"/>
      <c r="K769" s="2" t="str">
        <f t="shared" si="45"/>
        <v/>
      </c>
      <c r="L769" s="3" t="str">
        <f t="shared" si="46"/>
        <v/>
      </c>
      <c r="M769" s="2" t="str">
        <f t="shared" si="47"/>
        <v/>
      </c>
      <c r="N769" t="str">
        <f t="shared" si="48"/>
        <v/>
      </c>
    </row>
    <row r="770" spans="7:14" ht="15.6" thickBot="1" x14ac:dyDescent="0.35">
      <c r="G770" s="10"/>
      <c r="J770" s="8"/>
      <c r="K770" s="2" t="str">
        <f t="shared" si="45"/>
        <v/>
      </c>
      <c r="L770" s="3" t="str">
        <f t="shared" si="46"/>
        <v/>
      </c>
      <c r="M770" s="2" t="str">
        <f t="shared" si="47"/>
        <v/>
      </c>
      <c r="N770" t="str">
        <f t="shared" si="48"/>
        <v/>
      </c>
    </row>
    <row r="771" spans="7:14" ht="15.6" thickBot="1" x14ac:dyDescent="0.35">
      <c r="G771" s="10"/>
      <c r="J771" s="8"/>
      <c r="K771" s="2" t="str">
        <f t="shared" si="45"/>
        <v/>
      </c>
      <c r="L771" s="3" t="str">
        <f t="shared" si="46"/>
        <v/>
      </c>
      <c r="M771" s="2" t="str">
        <f t="shared" si="47"/>
        <v/>
      </c>
      <c r="N771" t="str">
        <f t="shared" si="48"/>
        <v/>
      </c>
    </row>
    <row r="772" spans="7:14" ht="15.6" thickBot="1" x14ac:dyDescent="0.35">
      <c r="G772" s="10"/>
      <c r="J772" s="8"/>
      <c r="K772" s="2" t="str">
        <f t="shared" si="45"/>
        <v/>
      </c>
      <c r="L772" s="3" t="str">
        <f t="shared" si="46"/>
        <v/>
      </c>
      <c r="M772" s="2" t="str">
        <f t="shared" si="47"/>
        <v/>
      </c>
      <c r="N772" t="str">
        <f t="shared" si="48"/>
        <v/>
      </c>
    </row>
    <row r="773" spans="7:14" ht="15.6" thickBot="1" x14ac:dyDescent="0.35">
      <c r="G773" s="10"/>
      <c r="J773" s="8"/>
      <c r="K773" s="2" t="str">
        <f t="shared" ref="K773:K836" si="49">SUBSTITUTE(I773,CHAR(10),"&lt;br&gt;")</f>
        <v/>
      </c>
      <c r="L773" s="3" t="str">
        <f t="shared" ref="L773:L836" si="50">IF(B773="","","{"&amp;$M$1&amp;"no"&amp;$M$1&amp;":"&amp;$M$1&amp;""&amp;B773&amp;""&amp;$M$1&amp;","&amp;$M$1&amp;"name"&amp;$M$1&amp;":"&amp;$M$1&amp;""&amp;C773&amp;""&amp;$M$1&amp;","&amp;$M$1&amp;"category"&amp;$M$1&amp;":"&amp;$M$1&amp;""&amp;D773&amp;""&amp;$M$1&amp;","&amp;$M$1&amp;"price"&amp;$M$1&amp;":"&amp;E773&amp;","&amp;$M$1&amp;"quantity"&amp;$M$1&amp;":"&amp;F773&amp;","&amp;$M$1&amp;"discount"&amp;$M$1&amp;":"&amp;G773*100&amp;","&amp;$M$1&amp;"images"&amp;$M$1&amp;":"&amp;$M$1&amp;""&amp;H773&amp;""&amp;$M$1&amp;","&amp;$M$1&amp;"description"&amp;$M$1&amp;":"&amp;$M$1&amp;""&amp;K773&amp;""&amp;$M$1&amp;"}")</f>
        <v/>
      </c>
      <c r="M773" s="2" t="str">
        <f t="shared" ref="M773:M836" si="51">IF(L774="","",",")</f>
        <v/>
      </c>
      <c r="N773" t="str">
        <f t="shared" si="48"/>
        <v/>
      </c>
    </row>
    <row r="774" spans="7:14" ht="15.6" thickBot="1" x14ac:dyDescent="0.35">
      <c r="G774" s="10"/>
      <c r="J774" s="8"/>
      <c r="K774" s="2" t="str">
        <f t="shared" si="49"/>
        <v/>
      </c>
      <c r="L774" s="3" t="str">
        <f t="shared" si="50"/>
        <v/>
      </c>
      <c r="M774" s="2" t="str">
        <f t="shared" si="51"/>
        <v/>
      </c>
      <c r="N774" t="str">
        <f t="shared" si="48"/>
        <v/>
      </c>
    </row>
    <row r="775" spans="7:14" ht="15.6" thickBot="1" x14ac:dyDescent="0.35">
      <c r="G775" s="10"/>
      <c r="J775" s="8"/>
      <c r="K775" s="2" t="str">
        <f t="shared" si="49"/>
        <v/>
      </c>
      <c r="L775" s="3" t="str">
        <f t="shared" si="50"/>
        <v/>
      </c>
      <c r="M775" s="2" t="str">
        <f t="shared" si="51"/>
        <v/>
      </c>
      <c r="N775" t="str">
        <f t="shared" si="48"/>
        <v/>
      </c>
    </row>
    <row r="776" spans="7:14" ht="15.6" thickBot="1" x14ac:dyDescent="0.35">
      <c r="G776" s="10"/>
      <c r="J776" s="8"/>
      <c r="K776" s="2" t="str">
        <f t="shared" si="49"/>
        <v/>
      </c>
      <c r="L776" s="3" t="str">
        <f t="shared" si="50"/>
        <v/>
      </c>
      <c r="M776" s="2" t="str">
        <f t="shared" si="51"/>
        <v/>
      </c>
      <c r="N776" t="str">
        <f t="shared" si="48"/>
        <v/>
      </c>
    </row>
    <row r="777" spans="7:14" ht="15.6" thickBot="1" x14ac:dyDescent="0.35">
      <c r="G777" s="10"/>
      <c r="J777" s="8"/>
      <c r="K777" s="2" t="str">
        <f t="shared" si="49"/>
        <v/>
      </c>
      <c r="L777" s="3" t="str">
        <f t="shared" si="50"/>
        <v/>
      </c>
      <c r="M777" s="2" t="str">
        <f t="shared" si="51"/>
        <v/>
      </c>
      <c r="N777" t="str">
        <f t="shared" ref="N777:N840" si="52">_xlfn.CONCAT(L777,M777)</f>
        <v/>
      </c>
    </row>
    <row r="778" spans="7:14" ht="15.6" thickBot="1" x14ac:dyDescent="0.35">
      <c r="G778" s="10"/>
      <c r="J778" s="8"/>
      <c r="K778" s="2" t="str">
        <f t="shared" si="49"/>
        <v/>
      </c>
      <c r="L778" s="3" t="str">
        <f t="shared" si="50"/>
        <v/>
      </c>
      <c r="M778" s="2" t="str">
        <f t="shared" si="51"/>
        <v/>
      </c>
      <c r="N778" t="str">
        <f t="shared" si="52"/>
        <v/>
      </c>
    </row>
    <row r="779" spans="7:14" ht="15.6" thickBot="1" x14ac:dyDescent="0.35">
      <c r="G779" s="10"/>
      <c r="J779" s="8"/>
      <c r="K779" s="2" t="str">
        <f t="shared" si="49"/>
        <v/>
      </c>
      <c r="L779" s="3" t="str">
        <f t="shared" si="50"/>
        <v/>
      </c>
      <c r="M779" s="2" t="str">
        <f t="shared" si="51"/>
        <v/>
      </c>
      <c r="N779" t="str">
        <f t="shared" si="52"/>
        <v/>
      </c>
    </row>
    <row r="780" spans="7:14" ht="15.6" thickBot="1" x14ac:dyDescent="0.35">
      <c r="G780" s="10"/>
      <c r="J780" s="8"/>
      <c r="K780" s="2" t="str">
        <f t="shared" si="49"/>
        <v/>
      </c>
      <c r="L780" s="3" t="str">
        <f t="shared" si="50"/>
        <v/>
      </c>
      <c r="M780" s="2" t="str">
        <f t="shared" si="51"/>
        <v/>
      </c>
      <c r="N780" t="str">
        <f t="shared" si="52"/>
        <v/>
      </c>
    </row>
    <row r="781" spans="7:14" ht="15.6" thickBot="1" x14ac:dyDescent="0.35">
      <c r="G781" s="10"/>
      <c r="J781" s="8"/>
      <c r="K781" s="2" t="str">
        <f t="shared" si="49"/>
        <v/>
      </c>
      <c r="L781" s="3" t="str">
        <f t="shared" si="50"/>
        <v/>
      </c>
      <c r="M781" s="2" t="str">
        <f t="shared" si="51"/>
        <v/>
      </c>
      <c r="N781" t="str">
        <f t="shared" si="52"/>
        <v/>
      </c>
    </row>
    <row r="782" spans="7:14" ht="15.6" thickBot="1" x14ac:dyDescent="0.35">
      <c r="G782" s="10"/>
      <c r="J782" s="8"/>
      <c r="K782" s="2" t="str">
        <f t="shared" si="49"/>
        <v/>
      </c>
      <c r="L782" s="3" t="str">
        <f t="shared" si="50"/>
        <v/>
      </c>
      <c r="M782" s="2" t="str">
        <f t="shared" si="51"/>
        <v/>
      </c>
      <c r="N782" t="str">
        <f t="shared" si="52"/>
        <v/>
      </c>
    </row>
    <row r="783" spans="7:14" ht="15.6" thickBot="1" x14ac:dyDescent="0.35">
      <c r="G783" s="10"/>
      <c r="J783" s="8"/>
      <c r="K783" s="2" t="str">
        <f t="shared" si="49"/>
        <v/>
      </c>
      <c r="L783" s="3" t="str">
        <f t="shared" si="50"/>
        <v/>
      </c>
      <c r="M783" s="2" t="str">
        <f t="shared" si="51"/>
        <v/>
      </c>
      <c r="N783" t="str">
        <f t="shared" si="52"/>
        <v/>
      </c>
    </row>
    <row r="784" spans="7:14" ht="15.6" thickBot="1" x14ac:dyDescent="0.35">
      <c r="G784" s="10"/>
      <c r="J784" s="8"/>
      <c r="K784" s="2" t="str">
        <f t="shared" si="49"/>
        <v/>
      </c>
      <c r="L784" s="3" t="str">
        <f t="shared" si="50"/>
        <v/>
      </c>
      <c r="M784" s="2" t="str">
        <f t="shared" si="51"/>
        <v/>
      </c>
      <c r="N784" t="str">
        <f t="shared" si="52"/>
        <v/>
      </c>
    </row>
    <row r="785" spans="7:14" ht="15.6" thickBot="1" x14ac:dyDescent="0.35">
      <c r="G785" s="10"/>
      <c r="J785" s="8"/>
      <c r="K785" s="2" t="str">
        <f t="shared" si="49"/>
        <v/>
      </c>
      <c r="L785" s="3" t="str">
        <f t="shared" si="50"/>
        <v/>
      </c>
      <c r="M785" s="2" t="str">
        <f t="shared" si="51"/>
        <v/>
      </c>
      <c r="N785" t="str">
        <f t="shared" si="52"/>
        <v/>
      </c>
    </row>
    <row r="786" spans="7:14" ht="15.6" thickBot="1" x14ac:dyDescent="0.35">
      <c r="G786" s="10"/>
      <c r="J786" s="8"/>
      <c r="K786" s="2" t="str">
        <f t="shared" si="49"/>
        <v/>
      </c>
      <c r="L786" s="3" t="str">
        <f t="shared" si="50"/>
        <v/>
      </c>
      <c r="M786" s="2" t="str">
        <f t="shared" si="51"/>
        <v/>
      </c>
      <c r="N786" t="str">
        <f t="shared" si="52"/>
        <v/>
      </c>
    </row>
    <row r="787" spans="7:14" ht="15.6" thickBot="1" x14ac:dyDescent="0.35">
      <c r="G787" s="10"/>
      <c r="J787" s="8"/>
      <c r="K787" s="2" t="str">
        <f t="shared" si="49"/>
        <v/>
      </c>
      <c r="L787" s="3" t="str">
        <f t="shared" si="50"/>
        <v/>
      </c>
      <c r="M787" s="2" t="str">
        <f t="shared" si="51"/>
        <v/>
      </c>
      <c r="N787" t="str">
        <f t="shared" si="52"/>
        <v/>
      </c>
    </row>
    <row r="788" spans="7:14" ht="15.6" thickBot="1" x14ac:dyDescent="0.35">
      <c r="G788" s="10"/>
      <c r="J788" s="8"/>
      <c r="K788" s="2" t="str">
        <f t="shared" si="49"/>
        <v/>
      </c>
      <c r="L788" s="3" t="str">
        <f t="shared" si="50"/>
        <v/>
      </c>
      <c r="M788" s="2" t="str">
        <f t="shared" si="51"/>
        <v/>
      </c>
      <c r="N788" t="str">
        <f t="shared" si="52"/>
        <v/>
      </c>
    </row>
    <row r="789" spans="7:14" ht="15.6" thickBot="1" x14ac:dyDescent="0.35">
      <c r="G789" s="10"/>
      <c r="J789" s="8"/>
      <c r="K789" s="2" t="str">
        <f t="shared" si="49"/>
        <v/>
      </c>
      <c r="L789" s="3" t="str">
        <f t="shared" si="50"/>
        <v/>
      </c>
      <c r="M789" s="2" t="str">
        <f t="shared" si="51"/>
        <v/>
      </c>
      <c r="N789" t="str">
        <f t="shared" si="52"/>
        <v/>
      </c>
    </row>
    <row r="790" spans="7:14" ht="15.6" thickBot="1" x14ac:dyDescent="0.35">
      <c r="G790" s="10"/>
      <c r="J790" s="8"/>
      <c r="K790" s="2" t="str">
        <f t="shared" si="49"/>
        <v/>
      </c>
      <c r="L790" s="3" t="str">
        <f t="shared" si="50"/>
        <v/>
      </c>
      <c r="M790" s="2" t="str">
        <f t="shared" si="51"/>
        <v/>
      </c>
      <c r="N790" t="str">
        <f t="shared" si="52"/>
        <v/>
      </c>
    </row>
    <row r="791" spans="7:14" ht="15.6" thickBot="1" x14ac:dyDescent="0.35">
      <c r="G791" s="10"/>
      <c r="J791" s="8"/>
      <c r="K791" s="2" t="str">
        <f t="shared" si="49"/>
        <v/>
      </c>
      <c r="L791" s="3" t="str">
        <f t="shared" si="50"/>
        <v/>
      </c>
      <c r="M791" s="2" t="str">
        <f t="shared" si="51"/>
        <v/>
      </c>
      <c r="N791" t="str">
        <f t="shared" si="52"/>
        <v/>
      </c>
    </row>
    <row r="792" spans="7:14" ht="15.6" thickBot="1" x14ac:dyDescent="0.35">
      <c r="G792" s="10"/>
      <c r="J792" s="8"/>
      <c r="K792" s="2" t="str">
        <f t="shared" si="49"/>
        <v/>
      </c>
      <c r="L792" s="3" t="str">
        <f t="shared" si="50"/>
        <v/>
      </c>
      <c r="M792" s="2" t="str">
        <f t="shared" si="51"/>
        <v/>
      </c>
      <c r="N792" t="str">
        <f t="shared" si="52"/>
        <v/>
      </c>
    </row>
    <row r="793" spans="7:14" ht="15.6" thickBot="1" x14ac:dyDescent="0.35">
      <c r="G793" s="10"/>
      <c r="J793" s="8"/>
      <c r="K793" s="2" t="str">
        <f t="shared" si="49"/>
        <v/>
      </c>
      <c r="L793" s="3" t="str">
        <f t="shared" si="50"/>
        <v/>
      </c>
      <c r="M793" s="2" t="str">
        <f t="shared" si="51"/>
        <v/>
      </c>
      <c r="N793" t="str">
        <f t="shared" si="52"/>
        <v/>
      </c>
    </row>
    <row r="794" spans="7:14" ht="15.6" thickBot="1" x14ac:dyDescent="0.35">
      <c r="G794" s="10"/>
      <c r="J794" s="8"/>
      <c r="K794" s="2" t="str">
        <f t="shared" si="49"/>
        <v/>
      </c>
      <c r="L794" s="3" t="str">
        <f t="shared" si="50"/>
        <v/>
      </c>
      <c r="M794" s="2" t="str">
        <f t="shared" si="51"/>
        <v/>
      </c>
      <c r="N794" t="str">
        <f t="shared" si="52"/>
        <v/>
      </c>
    </row>
    <row r="795" spans="7:14" ht="15.6" thickBot="1" x14ac:dyDescent="0.35">
      <c r="G795" s="10"/>
      <c r="J795" s="8"/>
      <c r="K795" s="2" t="str">
        <f t="shared" si="49"/>
        <v/>
      </c>
      <c r="L795" s="3" t="str">
        <f t="shared" si="50"/>
        <v/>
      </c>
      <c r="M795" s="2" t="str">
        <f t="shared" si="51"/>
        <v/>
      </c>
      <c r="N795" t="str">
        <f t="shared" si="52"/>
        <v/>
      </c>
    </row>
    <row r="796" spans="7:14" ht="15.6" thickBot="1" x14ac:dyDescent="0.35">
      <c r="G796" s="10"/>
      <c r="J796" s="8"/>
      <c r="K796" s="2" t="str">
        <f t="shared" si="49"/>
        <v/>
      </c>
      <c r="L796" s="3" t="str">
        <f t="shared" si="50"/>
        <v/>
      </c>
      <c r="M796" s="2" t="str">
        <f t="shared" si="51"/>
        <v/>
      </c>
      <c r="N796" t="str">
        <f t="shared" si="52"/>
        <v/>
      </c>
    </row>
    <row r="797" spans="7:14" ht="15.6" thickBot="1" x14ac:dyDescent="0.35">
      <c r="G797" s="10"/>
      <c r="J797" s="8"/>
      <c r="K797" s="2" t="str">
        <f t="shared" si="49"/>
        <v/>
      </c>
      <c r="L797" s="3" t="str">
        <f t="shared" si="50"/>
        <v/>
      </c>
      <c r="M797" s="2" t="str">
        <f t="shared" si="51"/>
        <v/>
      </c>
      <c r="N797" t="str">
        <f t="shared" si="52"/>
        <v/>
      </c>
    </row>
    <row r="798" spans="7:14" ht="15.6" thickBot="1" x14ac:dyDescent="0.35">
      <c r="G798" s="10"/>
      <c r="J798" s="8"/>
      <c r="K798" s="2" t="str">
        <f t="shared" si="49"/>
        <v/>
      </c>
      <c r="L798" s="3" t="str">
        <f t="shared" si="50"/>
        <v/>
      </c>
      <c r="M798" s="2" t="str">
        <f t="shared" si="51"/>
        <v/>
      </c>
      <c r="N798" t="str">
        <f t="shared" si="52"/>
        <v/>
      </c>
    </row>
    <row r="799" spans="7:14" ht="15.6" thickBot="1" x14ac:dyDescent="0.35">
      <c r="G799" s="10"/>
      <c r="J799" s="8"/>
      <c r="K799" s="2" t="str">
        <f t="shared" si="49"/>
        <v/>
      </c>
      <c r="L799" s="3" t="str">
        <f t="shared" si="50"/>
        <v/>
      </c>
      <c r="M799" s="2" t="str">
        <f t="shared" si="51"/>
        <v/>
      </c>
      <c r="N799" t="str">
        <f t="shared" si="52"/>
        <v/>
      </c>
    </row>
    <row r="800" spans="7:14" ht="15.6" thickBot="1" x14ac:dyDescent="0.35">
      <c r="G800" s="10"/>
      <c r="J800" s="8"/>
      <c r="K800" s="2" t="str">
        <f t="shared" si="49"/>
        <v/>
      </c>
      <c r="L800" s="3" t="str">
        <f t="shared" si="50"/>
        <v/>
      </c>
      <c r="M800" s="2" t="str">
        <f t="shared" si="51"/>
        <v/>
      </c>
      <c r="N800" t="str">
        <f t="shared" si="52"/>
        <v/>
      </c>
    </row>
    <row r="801" spans="7:14" ht="15.6" thickBot="1" x14ac:dyDescent="0.35">
      <c r="G801" s="10"/>
      <c r="J801" s="8"/>
      <c r="K801" s="2" t="str">
        <f t="shared" si="49"/>
        <v/>
      </c>
      <c r="L801" s="3" t="str">
        <f t="shared" si="50"/>
        <v/>
      </c>
      <c r="M801" s="2" t="str">
        <f t="shared" si="51"/>
        <v/>
      </c>
      <c r="N801" t="str">
        <f t="shared" si="52"/>
        <v/>
      </c>
    </row>
    <row r="802" spans="7:14" ht="15.6" thickBot="1" x14ac:dyDescent="0.35">
      <c r="G802" s="10"/>
      <c r="J802" s="8"/>
      <c r="K802" s="2" t="str">
        <f t="shared" si="49"/>
        <v/>
      </c>
      <c r="L802" s="3" t="str">
        <f t="shared" si="50"/>
        <v/>
      </c>
      <c r="M802" s="2" t="str">
        <f t="shared" si="51"/>
        <v/>
      </c>
      <c r="N802" t="str">
        <f t="shared" si="52"/>
        <v/>
      </c>
    </row>
    <row r="803" spans="7:14" ht="15.6" thickBot="1" x14ac:dyDescent="0.35">
      <c r="G803" s="10"/>
      <c r="J803" s="8"/>
      <c r="K803" s="2" t="str">
        <f t="shared" si="49"/>
        <v/>
      </c>
      <c r="L803" s="3" t="str">
        <f t="shared" si="50"/>
        <v/>
      </c>
      <c r="M803" s="2" t="str">
        <f t="shared" si="51"/>
        <v/>
      </c>
      <c r="N803" t="str">
        <f t="shared" si="52"/>
        <v/>
      </c>
    </row>
    <row r="804" spans="7:14" ht="15.6" thickBot="1" x14ac:dyDescent="0.35">
      <c r="G804" s="10"/>
      <c r="J804" s="8"/>
      <c r="K804" s="2" t="str">
        <f t="shared" si="49"/>
        <v/>
      </c>
      <c r="L804" s="3" t="str">
        <f t="shared" si="50"/>
        <v/>
      </c>
      <c r="M804" s="2" t="str">
        <f t="shared" si="51"/>
        <v/>
      </c>
      <c r="N804" t="str">
        <f t="shared" si="52"/>
        <v/>
      </c>
    </row>
    <row r="805" spans="7:14" ht="15.6" thickBot="1" x14ac:dyDescent="0.35">
      <c r="G805" s="10"/>
      <c r="J805" s="8"/>
      <c r="K805" s="2" t="str">
        <f t="shared" si="49"/>
        <v/>
      </c>
      <c r="L805" s="3" t="str">
        <f t="shared" si="50"/>
        <v/>
      </c>
      <c r="M805" s="2" t="str">
        <f t="shared" si="51"/>
        <v/>
      </c>
      <c r="N805" t="str">
        <f t="shared" si="52"/>
        <v/>
      </c>
    </row>
    <row r="806" spans="7:14" ht="15.6" thickBot="1" x14ac:dyDescent="0.35">
      <c r="G806" s="10"/>
      <c r="J806" s="8"/>
      <c r="K806" s="2" t="str">
        <f t="shared" si="49"/>
        <v/>
      </c>
      <c r="L806" s="3" t="str">
        <f t="shared" si="50"/>
        <v/>
      </c>
      <c r="M806" s="2" t="str">
        <f t="shared" si="51"/>
        <v/>
      </c>
      <c r="N806" t="str">
        <f t="shared" si="52"/>
        <v/>
      </c>
    </row>
    <row r="807" spans="7:14" ht="15.6" thickBot="1" x14ac:dyDescent="0.35">
      <c r="G807" s="10"/>
      <c r="J807" s="8"/>
      <c r="K807" s="2" t="str">
        <f t="shared" si="49"/>
        <v/>
      </c>
      <c r="L807" s="3" t="str">
        <f t="shared" si="50"/>
        <v/>
      </c>
      <c r="M807" s="2" t="str">
        <f t="shared" si="51"/>
        <v/>
      </c>
      <c r="N807" t="str">
        <f t="shared" si="52"/>
        <v/>
      </c>
    </row>
    <row r="808" spans="7:14" ht="15.6" thickBot="1" x14ac:dyDescent="0.35">
      <c r="G808" s="10"/>
      <c r="J808" s="8"/>
      <c r="K808" s="2" t="str">
        <f t="shared" si="49"/>
        <v/>
      </c>
      <c r="L808" s="3" t="str">
        <f t="shared" si="50"/>
        <v/>
      </c>
      <c r="M808" s="2" t="str">
        <f t="shared" si="51"/>
        <v/>
      </c>
      <c r="N808" t="str">
        <f t="shared" si="52"/>
        <v/>
      </c>
    </row>
    <row r="809" spans="7:14" ht="15.6" thickBot="1" x14ac:dyDescent="0.35">
      <c r="G809" s="10"/>
      <c r="J809" s="8"/>
      <c r="K809" s="2" t="str">
        <f t="shared" si="49"/>
        <v/>
      </c>
      <c r="L809" s="3" t="str">
        <f t="shared" si="50"/>
        <v/>
      </c>
      <c r="M809" s="2" t="str">
        <f t="shared" si="51"/>
        <v/>
      </c>
      <c r="N809" t="str">
        <f t="shared" si="52"/>
        <v/>
      </c>
    </row>
    <row r="810" spans="7:14" ht="15.6" thickBot="1" x14ac:dyDescent="0.35">
      <c r="G810" s="10"/>
      <c r="J810" s="8"/>
      <c r="K810" s="2" t="str">
        <f t="shared" si="49"/>
        <v/>
      </c>
      <c r="L810" s="3" t="str">
        <f t="shared" si="50"/>
        <v/>
      </c>
      <c r="M810" s="2" t="str">
        <f t="shared" si="51"/>
        <v/>
      </c>
      <c r="N810" t="str">
        <f t="shared" si="52"/>
        <v/>
      </c>
    </row>
    <row r="811" spans="7:14" ht="15.6" thickBot="1" x14ac:dyDescent="0.35">
      <c r="G811" s="10"/>
      <c r="J811" s="8"/>
      <c r="K811" s="2" t="str">
        <f t="shared" si="49"/>
        <v/>
      </c>
      <c r="L811" s="3" t="str">
        <f t="shared" si="50"/>
        <v/>
      </c>
      <c r="M811" s="2" t="str">
        <f t="shared" si="51"/>
        <v/>
      </c>
      <c r="N811" t="str">
        <f t="shared" si="52"/>
        <v/>
      </c>
    </row>
    <row r="812" spans="7:14" ht="15.6" thickBot="1" x14ac:dyDescent="0.35">
      <c r="G812" s="10"/>
      <c r="J812" s="8"/>
      <c r="K812" s="2" t="str">
        <f t="shared" si="49"/>
        <v/>
      </c>
      <c r="L812" s="3" t="str">
        <f t="shared" si="50"/>
        <v/>
      </c>
      <c r="M812" s="2" t="str">
        <f t="shared" si="51"/>
        <v/>
      </c>
      <c r="N812" t="str">
        <f t="shared" si="52"/>
        <v/>
      </c>
    </row>
    <row r="813" spans="7:14" ht="15.6" thickBot="1" x14ac:dyDescent="0.35">
      <c r="G813" s="10"/>
      <c r="J813" s="8"/>
      <c r="K813" s="2" t="str">
        <f t="shared" si="49"/>
        <v/>
      </c>
      <c r="L813" s="3" t="str">
        <f t="shared" si="50"/>
        <v/>
      </c>
      <c r="M813" s="2" t="str">
        <f t="shared" si="51"/>
        <v/>
      </c>
      <c r="N813" t="str">
        <f t="shared" si="52"/>
        <v/>
      </c>
    </row>
    <row r="814" spans="7:14" ht="15.6" thickBot="1" x14ac:dyDescent="0.35">
      <c r="G814" s="10"/>
      <c r="J814" s="8"/>
      <c r="K814" s="2" t="str">
        <f t="shared" si="49"/>
        <v/>
      </c>
      <c r="L814" s="3" t="str">
        <f t="shared" si="50"/>
        <v/>
      </c>
      <c r="M814" s="2" t="str">
        <f t="shared" si="51"/>
        <v/>
      </c>
      <c r="N814" t="str">
        <f t="shared" si="52"/>
        <v/>
      </c>
    </row>
    <row r="815" spans="7:14" ht="15.6" thickBot="1" x14ac:dyDescent="0.35">
      <c r="G815" s="10"/>
      <c r="J815" s="8"/>
      <c r="K815" s="2" t="str">
        <f t="shared" si="49"/>
        <v/>
      </c>
      <c r="L815" s="3" t="str">
        <f t="shared" si="50"/>
        <v/>
      </c>
      <c r="M815" s="2" t="str">
        <f t="shared" si="51"/>
        <v/>
      </c>
      <c r="N815" t="str">
        <f t="shared" si="52"/>
        <v/>
      </c>
    </row>
    <row r="816" spans="7:14" ht="15.6" thickBot="1" x14ac:dyDescent="0.35">
      <c r="G816" s="10"/>
      <c r="J816" s="8"/>
      <c r="K816" s="2" t="str">
        <f t="shared" si="49"/>
        <v/>
      </c>
      <c r="L816" s="3" t="str">
        <f t="shared" si="50"/>
        <v/>
      </c>
      <c r="M816" s="2" t="str">
        <f t="shared" si="51"/>
        <v/>
      </c>
      <c r="N816" t="str">
        <f t="shared" si="52"/>
        <v/>
      </c>
    </row>
    <row r="817" spans="7:14" ht="15.6" thickBot="1" x14ac:dyDescent="0.35">
      <c r="G817" s="10"/>
      <c r="J817" s="8"/>
      <c r="K817" s="2" t="str">
        <f t="shared" si="49"/>
        <v/>
      </c>
      <c r="L817" s="3" t="str">
        <f t="shared" si="50"/>
        <v/>
      </c>
      <c r="M817" s="2" t="str">
        <f t="shared" si="51"/>
        <v/>
      </c>
      <c r="N817" t="str">
        <f t="shared" si="52"/>
        <v/>
      </c>
    </row>
    <row r="818" spans="7:14" ht="15.6" thickBot="1" x14ac:dyDescent="0.35">
      <c r="G818" s="10"/>
      <c r="J818" s="8"/>
      <c r="K818" s="2" t="str">
        <f t="shared" si="49"/>
        <v/>
      </c>
      <c r="L818" s="3" t="str">
        <f t="shared" si="50"/>
        <v/>
      </c>
      <c r="M818" s="2" t="str">
        <f t="shared" si="51"/>
        <v/>
      </c>
      <c r="N818" t="str">
        <f t="shared" si="52"/>
        <v/>
      </c>
    </row>
    <row r="819" spans="7:14" ht="15.6" thickBot="1" x14ac:dyDescent="0.35">
      <c r="G819" s="10"/>
      <c r="J819" s="8"/>
      <c r="K819" s="2" t="str">
        <f t="shared" si="49"/>
        <v/>
      </c>
      <c r="L819" s="3" t="str">
        <f t="shared" si="50"/>
        <v/>
      </c>
      <c r="M819" s="2" t="str">
        <f t="shared" si="51"/>
        <v/>
      </c>
      <c r="N819" t="str">
        <f t="shared" si="52"/>
        <v/>
      </c>
    </row>
    <row r="820" spans="7:14" ht="15.6" thickBot="1" x14ac:dyDescent="0.35">
      <c r="G820" s="10"/>
      <c r="J820" s="8"/>
      <c r="K820" s="2" t="str">
        <f t="shared" si="49"/>
        <v/>
      </c>
      <c r="L820" s="3" t="str">
        <f t="shared" si="50"/>
        <v/>
      </c>
      <c r="M820" s="2" t="str">
        <f t="shared" si="51"/>
        <v/>
      </c>
      <c r="N820" t="str">
        <f t="shared" si="52"/>
        <v/>
      </c>
    </row>
    <row r="821" spans="7:14" ht="15.6" thickBot="1" x14ac:dyDescent="0.35">
      <c r="G821" s="10"/>
      <c r="J821" s="8"/>
      <c r="K821" s="2" t="str">
        <f t="shared" si="49"/>
        <v/>
      </c>
      <c r="L821" s="3" t="str">
        <f t="shared" si="50"/>
        <v/>
      </c>
      <c r="M821" s="2" t="str">
        <f t="shared" si="51"/>
        <v/>
      </c>
      <c r="N821" t="str">
        <f t="shared" si="52"/>
        <v/>
      </c>
    </row>
    <row r="822" spans="7:14" ht="15.6" thickBot="1" x14ac:dyDescent="0.35">
      <c r="G822" s="10"/>
      <c r="J822" s="8"/>
      <c r="K822" s="2" t="str">
        <f t="shared" si="49"/>
        <v/>
      </c>
      <c r="L822" s="3" t="str">
        <f t="shared" si="50"/>
        <v/>
      </c>
      <c r="M822" s="2" t="str">
        <f t="shared" si="51"/>
        <v/>
      </c>
      <c r="N822" t="str">
        <f t="shared" si="52"/>
        <v/>
      </c>
    </row>
    <row r="823" spans="7:14" ht="15.6" thickBot="1" x14ac:dyDescent="0.35">
      <c r="G823" s="10"/>
      <c r="J823" s="8"/>
      <c r="K823" s="2" t="str">
        <f t="shared" si="49"/>
        <v/>
      </c>
      <c r="L823" s="3" t="str">
        <f t="shared" si="50"/>
        <v/>
      </c>
      <c r="M823" s="2" t="str">
        <f t="shared" si="51"/>
        <v/>
      </c>
      <c r="N823" t="str">
        <f t="shared" si="52"/>
        <v/>
      </c>
    </row>
    <row r="824" spans="7:14" ht="15.6" thickBot="1" x14ac:dyDescent="0.35">
      <c r="G824" s="10"/>
      <c r="J824" s="8"/>
      <c r="K824" s="2" t="str">
        <f t="shared" si="49"/>
        <v/>
      </c>
      <c r="L824" s="3" t="str">
        <f t="shared" si="50"/>
        <v/>
      </c>
      <c r="M824" s="2" t="str">
        <f t="shared" si="51"/>
        <v/>
      </c>
      <c r="N824" t="str">
        <f t="shared" si="52"/>
        <v/>
      </c>
    </row>
    <row r="825" spans="7:14" ht="15.6" thickBot="1" x14ac:dyDescent="0.35">
      <c r="G825" s="10"/>
      <c r="J825" s="8"/>
      <c r="K825" s="2" t="str">
        <f t="shared" si="49"/>
        <v/>
      </c>
      <c r="L825" s="3" t="str">
        <f t="shared" si="50"/>
        <v/>
      </c>
      <c r="M825" s="2" t="str">
        <f t="shared" si="51"/>
        <v/>
      </c>
      <c r="N825" t="str">
        <f t="shared" si="52"/>
        <v/>
      </c>
    </row>
    <row r="826" spans="7:14" ht="15.6" thickBot="1" x14ac:dyDescent="0.35">
      <c r="G826" s="10"/>
      <c r="J826" s="8"/>
      <c r="K826" s="2" t="str">
        <f t="shared" si="49"/>
        <v/>
      </c>
      <c r="L826" s="3" t="str">
        <f t="shared" si="50"/>
        <v/>
      </c>
      <c r="M826" s="2" t="str">
        <f t="shared" si="51"/>
        <v/>
      </c>
      <c r="N826" t="str">
        <f t="shared" si="52"/>
        <v/>
      </c>
    </row>
    <row r="827" spans="7:14" ht="15.6" thickBot="1" x14ac:dyDescent="0.35">
      <c r="G827" s="10"/>
      <c r="J827" s="8"/>
      <c r="K827" s="2" t="str">
        <f t="shared" si="49"/>
        <v/>
      </c>
      <c r="L827" s="3" t="str">
        <f t="shared" si="50"/>
        <v/>
      </c>
      <c r="M827" s="2" t="str">
        <f t="shared" si="51"/>
        <v/>
      </c>
      <c r="N827" t="str">
        <f t="shared" si="52"/>
        <v/>
      </c>
    </row>
    <row r="828" spans="7:14" ht="15.6" thickBot="1" x14ac:dyDescent="0.35">
      <c r="G828" s="10"/>
      <c r="J828" s="8"/>
      <c r="K828" s="2" t="str">
        <f t="shared" si="49"/>
        <v/>
      </c>
      <c r="L828" s="3" t="str">
        <f t="shared" si="50"/>
        <v/>
      </c>
      <c r="M828" s="2" t="str">
        <f t="shared" si="51"/>
        <v/>
      </c>
      <c r="N828" t="str">
        <f t="shared" si="52"/>
        <v/>
      </c>
    </row>
    <row r="829" spans="7:14" ht="15.6" thickBot="1" x14ac:dyDescent="0.35">
      <c r="G829" s="10"/>
      <c r="J829" s="8"/>
      <c r="K829" s="2" t="str">
        <f t="shared" si="49"/>
        <v/>
      </c>
      <c r="L829" s="3" t="str">
        <f t="shared" si="50"/>
        <v/>
      </c>
      <c r="M829" s="2" t="str">
        <f t="shared" si="51"/>
        <v/>
      </c>
      <c r="N829" t="str">
        <f t="shared" si="52"/>
        <v/>
      </c>
    </row>
    <row r="830" spans="7:14" ht="15.6" thickBot="1" x14ac:dyDescent="0.35">
      <c r="G830" s="10"/>
      <c r="J830" s="8"/>
      <c r="K830" s="2" t="str">
        <f t="shared" si="49"/>
        <v/>
      </c>
      <c r="L830" s="3" t="str">
        <f t="shared" si="50"/>
        <v/>
      </c>
      <c r="M830" s="2" t="str">
        <f t="shared" si="51"/>
        <v/>
      </c>
      <c r="N830" t="str">
        <f t="shared" si="52"/>
        <v/>
      </c>
    </row>
    <row r="831" spans="7:14" ht="15.6" thickBot="1" x14ac:dyDescent="0.35">
      <c r="G831" s="10"/>
      <c r="J831" s="8"/>
      <c r="K831" s="2" t="str">
        <f t="shared" si="49"/>
        <v/>
      </c>
      <c r="L831" s="3" t="str">
        <f t="shared" si="50"/>
        <v/>
      </c>
      <c r="M831" s="2" t="str">
        <f t="shared" si="51"/>
        <v/>
      </c>
      <c r="N831" t="str">
        <f t="shared" si="52"/>
        <v/>
      </c>
    </row>
    <row r="832" spans="7:14" ht="15.6" thickBot="1" x14ac:dyDescent="0.35">
      <c r="G832" s="10"/>
      <c r="J832" s="8"/>
      <c r="K832" s="2" t="str">
        <f t="shared" si="49"/>
        <v/>
      </c>
      <c r="L832" s="3" t="str">
        <f t="shared" si="50"/>
        <v/>
      </c>
      <c r="M832" s="2" t="str">
        <f t="shared" si="51"/>
        <v/>
      </c>
      <c r="N832" t="str">
        <f t="shared" si="52"/>
        <v/>
      </c>
    </row>
    <row r="833" spans="7:14" ht="15.6" thickBot="1" x14ac:dyDescent="0.35">
      <c r="G833" s="10"/>
      <c r="J833" s="8"/>
      <c r="K833" s="2" t="str">
        <f t="shared" si="49"/>
        <v/>
      </c>
      <c r="L833" s="3" t="str">
        <f t="shared" si="50"/>
        <v/>
      </c>
      <c r="M833" s="2" t="str">
        <f t="shared" si="51"/>
        <v/>
      </c>
      <c r="N833" t="str">
        <f t="shared" si="52"/>
        <v/>
      </c>
    </row>
    <row r="834" spans="7:14" ht="15.6" thickBot="1" x14ac:dyDescent="0.35">
      <c r="G834" s="10"/>
      <c r="J834" s="8"/>
      <c r="K834" s="2" t="str">
        <f t="shared" si="49"/>
        <v/>
      </c>
      <c r="L834" s="3" t="str">
        <f t="shared" si="50"/>
        <v/>
      </c>
      <c r="M834" s="2" t="str">
        <f t="shared" si="51"/>
        <v/>
      </c>
      <c r="N834" t="str">
        <f t="shared" si="52"/>
        <v/>
      </c>
    </row>
    <row r="835" spans="7:14" ht="15.6" thickBot="1" x14ac:dyDescent="0.35">
      <c r="G835" s="10"/>
      <c r="J835" s="8"/>
      <c r="K835" s="2" t="str">
        <f t="shared" si="49"/>
        <v/>
      </c>
      <c r="L835" s="3" t="str">
        <f t="shared" si="50"/>
        <v/>
      </c>
      <c r="M835" s="2" t="str">
        <f t="shared" si="51"/>
        <v/>
      </c>
      <c r="N835" t="str">
        <f t="shared" si="52"/>
        <v/>
      </c>
    </row>
    <row r="836" spans="7:14" ht="15.6" thickBot="1" x14ac:dyDescent="0.35">
      <c r="G836" s="10"/>
      <c r="J836" s="8"/>
      <c r="K836" s="2" t="str">
        <f t="shared" si="49"/>
        <v/>
      </c>
      <c r="L836" s="3" t="str">
        <f t="shared" si="50"/>
        <v/>
      </c>
      <c r="M836" s="2" t="str">
        <f t="shared" si="51"/>
        <v/>
      </c>
      <c r="N836" t="str">
        <f t="shared" si="52"/>
        <v/>
      </c>
    </row>
    <row r="837" spans="7:14" ht="15.6" thickBot="1" x14ac:dyDescent="0.35">
      <c r="G837" s="10"/>
      <c r="J837" s="8"/>
      <c r="K837" s="2" t="str">
        <f t="shared" ref="K837:K900" si="53">SUBSTITUTE(I837,CHAR(10),"&lt;br&gt;")</f>
        <v/>
      </c>
      <c r="L837" s="3" t="str">
        <f t="shared" ref="L837:L900" si="54">IF(B837="","","{"&amp;$M$1&amp;"no"&amp;$M$1&amp;":"&amp;$M$1&amp;""&amp;B837&amp;""&amp;$M$1&amp;","&amp;$M$1&amp;"name"&amp;$M$1&amp;":"&amp;$M$1&amp;""&amp;C837&amp;""&amp;$M$1&amp;","&amp;$M$1&amp;"category"&amp;$M$1&amp;":"&amp;$M$1&amp;""&amp;D837&amp;""&amp;$M$1&amp;","&amp;$M$1&amp;"price"&amp;$M$1&amp;":"&amp;E837&amp;","&amp;$M$1&amp;"quantity"&amp;$M$1&amp;":"&amp;F837&amp;","&amp;$M$1&amp;"discount"&amp;$M$1&amp;":"&amp;G837*100&amp;","&amp;$M$1&amp;"images"&amp;$M$1&amp;":"&amp;$M$1&amp;""&amp;H837&amp;""&amp;$M$1&amp;","&amp;$M$1&amp;"description"&amp;$M$1&amp;":"&amp;$M$1&amp;""&amp;K837&amp;""&amp;$M$1&amp;"}")</f>
        <v/>
      </c>
      <c r="M837" s="2" t="str">
        <f t="shared" ref="M837:M900" si="55">IF(L838="","",",")</f>
        <v/>
      </c>
      <c r="N837" t="str">
        <f t="shared" si="52"/>
        <v/>
      </c>
    </row>
    <row r="838" spans="7:14" ht="15.6" thickBot="1" x14ac:dyDescent="0.35">
      <c r="G838" s="10"/>
      <c r="J838" s="8"/>
      <c r="K838" s="2" t="str">
        <f t="shared" si="53"/>
        <v/>
      </c>
      <c r="L838" s="3" t="str">
        <f t="shared" si="54"/>
        <v/>
      </c>
      <c r="M838" s="2" t="str">
        <f t="shared" si="55"/>
        <v/>
      </c>
      <c r="N838" t="str">
        <f t="shared" si="52"/>
        <v/>
      </c>
    </row>
    <row r="839" spans="7:14" ht="15.6" thickBot="1" x14ac:dyDescent="0.35">
      <c r="G839" s="10"/>
      <c r="J839" s="8"/>
      <c r="K839" s="2" t="str">
        <f t="shared" si="53"/>
        <v/>
      </c>
      <c r="L839" s="3" t="str">
        <f t="shared" si="54"/>
        <v/>
      </c>
      <c r="M839" s="2" t="str">
        <f t="shared" si="55"/>
        <v/>
      </c>
      <c r="N839" t="str">
        <f t="shared" si="52"/>
        <v/>
      </c>
    </row>
    <row r="840" spans="7:14" ht="15.6" thickBot="1" x14ac:dyDescent="0.35">
      <c r="G840" s="10"/>
      <c r="J840" s="8"/>
      <c r="K840" s="2" t="str">
        <f t="shared" si="53"/>
        <v/>
      </c>
      <c r="L840" s="3" t="str">
        <f t="shared" si="54"/>
        <v/>
      </c>
      <c r="M840" s="2" t="str">
        <f t="shared" si="55"/>
        <v/>
      </c>
      <c r="N840" t="str">
        <f t="shared" si="52"/>
        <v/>
      </c>
    </row>
    <row r="841" spans="7:14" ht="15.6" thickBot="1" x14ac:dyDescent="0.35">
      <c r="G841" s="10"/>
      <c r="J841" s="8"/>
      <c r="K841" s="2" t="str">
        <f t="shared" si="53"/>
        <v/>
      </c>
      <c r="L841" s="3" t="str">
        <f t="shared" si="54"/>
        <v/>
      </c>
      <c r="M841" s="2" t="str">
        <f t="shared" si="55"/>
        <v/>
      </c>
      <c r="N841" t="str">
        <f t="shared" ref="N841:N904" si="56">_xlfn.CONCAT(L841,M841)</f>
        <v/>
      </c>
    </row>
    <row r="842" spans="7:14" ht="15.6" thickBot="1" x14ac:dyDescent="0.35">
      <c r="G842" s="10"/>
      <c r="J842" s="8"/>
      <c r="K842" s="2" t="str">
        <f t="shared" si="53"/>
        <v/>
      </c>
      <c r="L842" s="3" t="str">
        <f t="shared" si="54"/>
        <v/>
      </c>
      <c r="M842" s="2" t="str">
        <f t="shared" si="55"/>
        <v/>
      </c>
      <c r="N842" t="str">
        <f t="shared" si="56"/>
        <v/>
      </c>
    </row>
    <row r="843" spans="7:14" ht="15.6" thickBot="1" x14ac:dyDescent="0.35">
      <c r="G843" s="10"/>
      <c r="J843" s="8"/>
      <c r="K843" s="2" t="str">
        <f t="shared" si="53"/>
        <v/>
      </c>
      <c r="L843" s="3" t="str">
        <f t="shared" si="54"/>
        <v/>
      </c>
      <c r="M843" s="2" t="str">
        <f t="shared" si="55"/>
        <v/>
      </c>
      <c r="N843" t="str">
        <f t="shared" si="56"/>
        <v/>
      </c>
    </row>
    <row r="844" spans="7:14" ht="15.6" thickBot="1" x14ac:dyDescent="0.35">
      <c r="G844" s="10"/>
      <c r="J844" s="8"/>
      <c r="K844" s="2" t="str">
        <f t="shared" si="53"/>
        <v/>
      </c>
      <c r="L844" s="3" t="str">
        <f t="shared" si="54"/>
        <v/>
      </c>
      <c r="M844" s="2" t="str">
        <f t="shared" si="55"/>
        <v/>
      </c>
      <c r="N844" t="str">
        <f t="shared" si="56"/>
        <v/>
      </c>
    </row>
    <row r="845" spans="7:14" ht="15.6" thickBot="1" x14ac:dyDescent="0.35">
      <c r="G845" s="10"/>
      <c r="J845" s="8"/>
      <c r="K845" s="2" t="str">
        <f t="shared" si="53"/>
        <v/>
      </c>
      <c r="L845" s="3" t="str">
        <f t="shared" si="54"/>
        <v/>
      </c>
      <c r="M845" s="2" t="str">
        <f t="shared" si="55"/>
        <v/>
      </c>
      <c r="N845" t="str">
        <f t="shared" si="56"/>
        <v/>
      </c>
    </row>
    <row r="846" spans="7:14" ht="15.6" thickBot="1" x14ac:dyDescent="0.35">
      <c r="G846" s="10"/>
      <c r="J846" s="8"/>
      <c r="K846" s="2" t="str">
        <f t="shared" si="53"/>
        <v/>
      </c>
      <c r="L846" s="3" t="str">
        <f t="shared" si="54"/>
        <v/>
      </c>
      <c r="M846" s="2" t="str">
        <f t="shared" si="55"/>
        <v/>
      </c>
      <c r="N846" t="str">
        <f t="shared" si="56"/>
        <v/>
      </c>
    </row>
    <row r="847" spans="7:14" ht="15.6" thickBot="1" x14ac:dyDescent="0.35">
      <c r="G847" s="10"/>
      <c r="J847" s="8"/>
      <c r="K847" s="2" t="str">
        <f t="shared" si="53"/>
        <v/>
      </c>
      <c r="L847" s="3" t="str">
        <f t="shared" si="54"/>
        <v/>
      </c>
      <c r="M847" s="2" t="str">
        <f t="shared" si="55"/>
        <v/>
      </c>
      <c r="N847" t="str">
        <f t="shared" si="56"/>
        <v/>
      </c>
    </row>
    <row r="848" spans="7:14" ht="15.6" thickBot="1" x14ac:dyDescent="0.35">
      <c r="G848" s="10"/>
      <c r="J848" s="8"/>
      <c r="K848" s="2" t="str">
        <f t="shared" si="53"/>
        <v/>
      </c>
      <c r="L848" s="3" t="str">
        <f t="shared" si="54"/>
        <v/>
      </c>
      <c r="M848" s="2" t="str">
        <f t="shared" si="55"/>
        <v/>
      </c>
      <c r="N848" t="str">
        <f t="shared" si="56"/>
        <v/>
      </c>
    </row>
    <row r="849" spans="7:14" ht="15.6" thickBot="1" x14ac:dyDescent="0.35">
      <c r="G849" s="10"/>
      <c r="J849" s="8"/>
      <c r="K849" s="2" t="str">
        <f t="shared" si="53"/>
        <v/>
      </c>
      <c r="L849" s="3" t="str">
        <f t="shared" si="54"/>
        <v/>
      </c>
      <c r="M849" s="2" t="str">
        <f t="shared" si="55"/>
        <v/>
      </c>
      <c r="N849" t="str">
        <f t="shared" si="56"/>
        <v/>
      </c>
    </row>
    <row r="850" spans="7:14" ht="15.6" thickBot="1" x14ac:dyDescent="0.35">
      <c r="G850" s="10"/>
      <c r="J850" s="8"/>
      <c r="K850" s="2" t="str">
        <f t="shared" si="53"/>
        <v/>
      </c>
      <c r="L850" s="3" t="str">
        <f t="shared" si="54"/>
        <v/>
      </c>
      <c r="M850" s="2" t="str">
        <f t="shared" si="55"/>
        <v/>
      </c>
      <c r="N850" t="str">
        <f t="shared" si="56"/>
        <v/>
      </c>
    </row>
    <row r="851" spans="7:14" ht="15.6" thickBot="1" x14ac:dyDescent="0.35">
      <c r="G851" s="10"/>
      <c r="J851" s="8"/>
      <c r="K851" s="2" t="str">
        <f t="shared" si="53"/>
        <v/>
      </c>
      <c r="L851" s="3" t="str">
        <f t="shared" si="54"/>
        <v/>
      </c>
      <c r="M851" s="2" t="str">
        <f t="shared" si="55"/>
        <v/>
      </c>
      <c r="N851" t="str">
        <f t="shared" si="56"/>
        <v/>
      </c>
    </row>
    <row r="852" spans="7:14" ht="15.6" thickBot="1" x14ac:dyDescent="0.35">
      <c r="G852" s="10"/>
      <c r="J852" s="8"/>
      <c r="K852" s="2" t="str">
        <f t="shared" si="53"/>
        <v/>
      </c>
      <c r="L852" s="3" t="str">
        <f t="shared" si="54"/>
        <v/>
      </c>
      <c r="M852" s="2" t="str">
        <f t="shared" si="55"/>
        <v/>
      </c>
      <c r="N852" t="str">
        <f t="shared" si="56"/>
        <v/>
      </c>
    </row>
    <row r="853" spans="7:14" ht="15.6" thickBot="1" x14ac:dyDescent="0.35">
      <c r="G853" s="10"/>
      <c r="J853" s="8"/>
      <c r="K853" s="2" t="str">
        <f t="shared" si="53"/>
        <v/>
      </c>
      <c r="L853" s="3" t="str">
        <f t="shared" si="54"/>
        <v/>
      </c>
      <c r="M853" s="2" t="str">
        <f t="shared" si="55"/>
        <v/>
      </c>
      <c r="N853" t="str">
        <f t="shared" si="56"/>
        <v/>
      </c>
    </row>
    <row r="854" spans="7:14" ht="15.6" thickBot="1" x14ac:dyDescent="0.35">
      <c r="G854" s="10"/>
      <c r="J854" s="8"/>
      <c r="K854" s="2" t="str">
        <f t="shared" si="53"/>
        <v/>
      </c>
      <c r="L854" s="3" t="str">
        <f t="shared" si="54"/>
        <v/>
      </c>
      <c r="M854" s="2" t="str">
        <f t="shared" si="55"/>
        <v/>
      </c>
      <c r="N854" t="str">
        <f t="shared" si="56"/>
        <v/>
      </c>
    </row>
    <row r="855" spans="7:14" ht="15.6" thickBot="1" x14ac:dyDescent="0.35">
      <c r="G855" s="10"/>
      <c r="J855" s="8"/>
      <c r="K855" s="2" t="str">
        <f t="shared" si="53"/>
        <v/>
      </c>
      <c r="L855" s="3" t="str">
        <f t="shared" si="54"/>
        <v/>
      </c>
      <c r="M855" s="2" t="str">
        <f t="shared" si="55"/>
        <v/>
      </c>
      <c r="N855" t="str">
        <f t="shared" si="56"/>
        <v/>
      </c>
    </row>
    <row r="856" spans="7:14" ht="15.6" thickBot="1" x14ac:dyDescent="0.35">
      <c r="G856" s="10"/>
      <c r="J856" s="8"/>
      <c r="K856" s="2" t="str">
        <f t="shared" si="53"/>
        <v/>
      </c>
      <c r="L856" s="3" t="str">
        <f t="shared" si="54"/>
        <v/>
      </c>
      <c r="M856" s="2" t="str">
        <f t="shared" si="55"/>
        <v/>
      </c>
      <c r="N856" t="str">
        <f t="shared" si="56"/>
        <v/>
      </c>
    </row>
    <row r="857" spans="7:14" ht="15.6" thickBot="1" x14ac:dyDescent="0.35">
      <c r="G857" s="10"/>
      <c r="J857" s="8"/>
      <c r="K857" s="2" t="str">
        <f t="shared" si="53"/>
        <v/>
      </c>
      <c r="L857" s="3" t="str">
        <f t="shared" si="54"/>
        <v/>
      </c>
      <c r="M857" s="2" t="str">
        <f t="shared" si="55"/>
        <v/>
      </c>
      <c r="N857" t="str">
        <f t="shared" si="56"/>
        <v/>
      </c>
    </row>
    <row r="858" spans="7:14" ht="15.6" thickBot="1" x14ac:dyDescent="0.35">
      <c r="G858" s="10"/>
      <c r="J858" s="8"/>
      <c r="K858" s="2" t="str">
        <f t="shared" si="53"/>
        <v/>
      </c>
      <c r="L858" s="3" t="str">
        <f t="shared" si="54"/>
        <v/>
      </c>
      <c r="M858" s="2" t="str">
        <f t="shared" si="55"/>
        <v/>
      </c>
      <c r="N858" t="str">
        <f t="shared" si="56"/>
        <v/>
      </c>
    </row>
    <row r="859" spans="7:14" ht="15.6" thickBot="1" x14ac:dyDescent="0.35">
      <c r="G859" s="10"/>
      <c r="J859" s="8"/>
      <c r="K859" s="2" t="str">
        <f t="shared" si="53"/>
        <v/>
      </c>
      <c r="L859" s="3" t="str">
        <f t="shared" si="54"/>
        <v/>
      </c>
      <c r="M859" s="2" t="str">
        <f t="shared" si="55"/>
        <v/>
      </c>
      <c r="N859" t="str">
        <f t="shared" si="56"/>
        <v/>
      </c>
    </row>
    <row r="860" spans="7:14" ht="15.6" thickBot="1" x14ac:dyDescent="0.35">
      <c r="G860" s="10"/>
      <c r="J860" s="8"/>
      <c r="K860" s="2" t="str">
        <f t="shared" si="53"/>
        <v/>
      </c>
      <c r="L860" s="3" t="str">
        <f t="shared" si="54"/>
        <v/>
      </c>
      <c r="M860" s="2" t="str">
        <f t="shared" si="55"/>
        <v/>
      </c>
      <c r="N860" t="str">
        <f t="shared" si="56"/>
        <v/>
      </c>
    </row>
    <row r="861" spans="7:14" ht="15.6" thickBot="1" x14ac:dyDescent="0.35">
      <c r="G861" s="10"/>
      <c r="J861" s="8"/>
      <c r="K861" s="2" t="str">
        <f t="shared" si="53"/>
        <v/>
      </c>
      <c r="L861" s="3" t="str">
        <f t="shared" si="54"/>
        <v/>
      </c>
      <c r="M861" s="2" t="str">
        <f t="shared" si="55"/>
        <v/>
      </c>
      <c r="N861" t="str">
        <f t="shared" si="56"/>
        <v/>
      </c>
    </row>
    <row r="862" spans="7:14" ht="15.6" thickBot="1" x14ac:dyDescent="0.35">
      <c r="G862" s="10"/>
      <c r="J862" s="8"/>
      <c r="K862" s="2" t="str">
        <f t="shared" si="53"/>
        <v/>
      </c>
      <c r="L862" s="3" t="str">
        <f t="shared" si="54"/>
        <v/>
      </c>
      <c r="M862" s="2" t="str">
        <f t="shared" si="55"/>
        <v/>
      </c>
      <c r="N862" t="str">
        <f t="shared" si="56"/>
        <v/>
      </c>
    </row>
    <row r="863" spans="7:14" ht="15.6" thickBot="1" x14ac:dyDescent="0.35">
      <c r="G863" s="10"/>
      <c r="J863" s="8"/>
      <c r="K863" s="2" t="str">
        <f t="shared" si="53"/>
        <v/>
      </c>
      <c r="L863" s="3" t="str">
        <f t="shared" si="54"/>
        <v/>
      </c>
      <c r="M863" s="2" t="str">
        <f t="shared" si="55"/>
        <v/>
      </c>
      <c r="N863" t="str">
        <f t="shared" si="56"/>
        <v/>
      </c>
    </row>
    <row r="864" spans="7:14" ht="15.6" thickBot="1" x14ac:dyDescent="0.35">
      <c r="G864" s="10"/>
      <c r="J864" s="8"/>
      <c r="K864" s="2" t="str">
        <f t="shared" si="53"/>
        <v/>
      </c>
      <c r="L864" s="3" t="str">
        <f t="shared" si="54"/>
        <v/>
      </c>
      <c r="M864" s="2" t="str">
        <f t="shared" si="55"/>
        <v/>
      </c>
      <c r="N864" t="str">
        <f t="shared" si="56"/>
        <v/>
      </c>
    </row>
    <row r="865" spans="7:14" ht="15.6" thickBot="1" x14ac:dyDescent="0.35">
      <c r="G865" s="10"/>
      <c r="J865" s="8"/>
      <c r="K865" s="2" t="str">
        <f t="shared" si="53"/>
        <v/>
      </c>
      <c r="L865" s="3" t="str">
        <f t="shared" si="54"/>
        <v/>
      </c>
      <c r="M865" s="2" t="str">
        <f t="shared" si="55"/>
        <v/>
      </c>
      <c r="N865" t="str">
        <f t="shared" si="56"/>
        <v/>
      </c>
    </row>
    <row r="866" spans="7:14" ht="15.6" thickBot="1" x14ac:dyDescent="0.35">
      <c r="G866" s="10"/>
      <c r="J866" s="8"/>
      <c r="K866" s="2" t="str">
        <f t="shared" si="53"/>
        <v/>
      </c>
      <c r="L866" s="3" t="str">
        <f t="shared" si="54"/>
        <v/>
      </c>
      <c r="M866" s="2" t="str">
        <f t="shared" si="55"/>
        <v/>
      </c>
      <c r="N866" t="str">
        <f t="shared" si="56"/>
        <v/>
      </c>
    </row>
    <row r="867" spans="7:14" ht="15.6" thickBot="1" x14ac:dyDescent="0.35">
      <c r="G867" s="10"/>
      <c r="J867" s="8"/>
      <c r="K867" s="2" t="str">
        <f t="shared" si="53"/>
        <v/>
      </c>
      <c r="L867" s="3" t="str">
        <f t="shared" si="54"/>
        <v/>
      </c>
      <c r="M867" s="2" t="str">
        <f t="shared" si="55"/>
        <v/>
      </c>
      <c r="N867" t="str">
        <f t="shared" si="56"/>
        <v/>
      </c>
    </row>
    <row r="868" spans="7:14" ht="15.6" thickBot="1" x14ac:dyDescent="0.35">
      <c r="G868" s="10"/>
      <c r="J868" s="8"/>
      <c r="K868" s="2" t="str">
        <f t="shared" si="53"/>
        <v/>
      </c>
      <c r="L868" s="3" t="str">
        <f t="shared" si="54"/>
        <v/>
      </c>
      <c r="M868" s="2" t="str">
        <f t="shared" si="55"/>
        <v/>
      </c>
      <c r="N868" t="str">
        <f t="shared" si="56"/>
        <v/>
      </c>
    </row>
    <row r="869" spans="7:14" ht="15.6" thickBot="1" x14ac:dyDescent="0.35">
      <c r="G869" s="10"/>
      <c r="J869" s="8"/>
      <c r="K869" s="2" t="str">
        <f t="shared" si="53"/>
        <v/>
      </c>
      <c r="L869" s="3" t="str">
        <f t="shared" si="54"/>
        <v/>
      </c>
      <c r="M869" s="2" t="str">
        <f t="shared" si="55"/>
        <v/>
      </c>
      <c r="N869" t="str">
        <f t="shared" si="56"/>
        <v/>
      </c>
    </row>
    <row r="870" spans="7:14" ht="15.6" thickBot="1" x14ac:dyDescent="0.35">
      <c r="G870" s="10"/>
      <c r="J870" s="8"/>
      <c r="K870" s="2" t="str">
        <f t="shared" si="53"/>
        <v/>
      </c>
      <c r="L870" s="3" t="str">
        <f t="shared" si="54"/>
        <v/>
      </c>
      <c r="M870" s="2" t="str">
        <f t="shared" si="55"/>
        <v/>
      </c>
      <c r="N870" t="str">
        <f t="shared" si="56"/>
        <v/>
      </c>
    </row>
    <row r="871" spans="7:14" ht="15.6" thickBot="1" x14ac:dyDescent="0.35">
      <c r="G871" s="10"/>
      <c r="J871" s="8"/>
      <c r="K871" s="2" t="str">
        <f t="shared" si="53"/>
        <v/>
      </c>
      <c r="L871" s="3" t="str">
        <f t="shared" si="54"/>
        <v/>
      </c>
      <c r="M871" s="2" t="str">
        <f t="shared" si="55"/>
        <v/>
      </c>
      <c r="N871" t="str">
        <f t="shared" si="56"/>
        <v/>
      </c>
    </row>
    <row r="872" spans="7:14" ht="15.6" thickBot="1" x14ac:dyDescent="0.35">
      <c r="G872" s="10"/>
      <c r="J872" s="8"/>
      <c r="K872" s="2" t="str">
        <f t="shared" si="53"/>
        <v/>
      </c>
      <c r="L872" s="3" t="str">
        <f t="shared" si="54"/>
        <v/>
      </c>
      <c r="M872" s="2" t="str">
        <f t="shared" si="55"/>
        <v/>
      </c>
      <c r="N872" t="str">
        <f t="shared" si="56"/>
        <v/>
      </c>
    </row>
    <row r="873" spans="7:14" ht="15.6" thickBot="1" x14ac:dyDescent="0.35">
      <c r="G873" s="10"/>
      <c r="J873" s="8"/>
      <c r="K873" s="2" t="str">
        <f t="shared" si="53"/>
        <v/>
      </c>
      <c r="L873" s="3" t="str">
        <f t="shared" si="54"/>
        <v/>
      </c>
      <c r="M873" s="2" t="str">
        <f t="shared" si="55"/>
        <v/>
      </c>
      <c r="N873" t="str">
        <f t="shared" si="56"/>
        <v/>
      </c>
    </row>
    <row r="874" spans="7:14" ht="15.6" thickBot="1" x14ac:dyDescent="0.35">
      <c r="G874" s="10"/>
      <c r="J874" s="8"/>
      <c r="K874" s="2" t="str">
        <f t="shared" si="53"/>
        <v/>
      </c>
      <c r="L874" s="3" t="str">
        <f t="shared" si="54"/>
        <v/>
      </c>
      <c r="M874" s="2" t="str">
        <f t="shared" si="55"/>
        <v/>
      </c>
      <c r="N874" t="str">
        <f t="shared" si="56"/>
        <v/>
      </c>
    </row>
    <row r="875" spans="7:14" ht="15.6" thickBot="1" x14ac:dyDescent="0.35">
      <c r="G875" s="10"/>
      <c r="J875" s="8"/>
      <c r="K875" s="2" t="str">
        <f t="shared" si="53"/>
        <v/>
      </c>
      <c r="L875" s="3" t="str">
        <f t="shared" si="54"/>
        <v/>
      </c>
      <c r="M875" s="2" t="str">
        <f t="shared" si="55"/>
        <v/>
      </c>
      <c r="N875" t="str">
        <f t="shared" si="56"/>
        <v/>
      </c>
    </row>
    <row r="876" spans="7:14" ht="15.6" thickBot="1" x14ac:dyDescent="0.35">
      <c r="G876" s="10"/>
      <c r="J876" s="8"/>
      <c r="K876" s="2" t="str">
        <f t="shared" si="53"/>
        <v/>
      </c>
      <c r="L876" s="3" t="str">
        <f t="shared" si="54"/>
        <v/>
      </c>
      <c r="M876" s="2" t="str">
        <f t="shared" si="55"/>
        <v/>
      </c>
      <c r="N876" t="str">
        <f t="shared" si="56"/>
        <v/>
      </c>
    </row>
    <row r="877" spans="7:14" ht="15.6" thickBot="1" x14ac:dyDescent="0.35">
      <c r="G877" s="10"/>
      <c r="J877" s="8"/>
      <c r="K877" s="2" t="str">
        <f t="shared" si="53"/>
        <v/>
      </c>
      <c r="L877" s="3" t="str">
        <f t="shared" si="54"/>
        <v/>
      </c>
      <c r="M877" s="2" t="str">
        <f t="shared" si="55"/>
        <v/>
      </c>
      <c r="N877" t="str">
        <f t="shared" si="56"/>
        <v/>
      </c>
    </row>
    <row r="878" spans="7:14" ht="15.6" thickBot="1" x14ac:dyDescent="0.35">
      <c r="G878" s="10"/>
      <c r="J878" s="8"/>
      <c r="K878" s="2" t="str">
        <f t="shared" si="53"/>
        <v/>
      </c>
      <c r="L878" s="3" t="str">
        <f t="shared" si="54"/>
        <v/>
      </c>
      <c r="M878" s="2" t="str">
        <f t="shared" si="55"/>
        <v/>
      </c>
      <c r="N878" t="str">
        <f t="shared" si="56"/>
        <v/>
      </c>
    </row>
    <row r="879" spans="7:14" ht="15.6" thickBot="1" x14ac:dyDescent="0.35">
      <c r="G879" s="10"/>
      <c r="J879" s="8"/>
      <c r="K879" s="2" t="str">
        <f t="shared" si="53"/>
        <v/>
      </c>
      <c r="L879" s="3" t="str">
        <f t="shared" si="54"/>
        <v/>
      </c>
      <c r="M879" s="2" t="str">
        <f t="shared" si="55"/>
        <v/>
      </c>
      <c r="N879" t="str">
        <f t="shared" si="56"/>
        <v/>
      </c>
    </row>
    <row r="880" spans="7:14" ht="15.6" thickBot="1" x14ac:dyDescent="0.35">
      <c r="G880" s="10"/>
      <c r="J880" s="8"/>
      <c r="K880" s="2" t="str">
        <f t="shared" si="53"/>
        <v/>
      </c>
      <c r="L880" s="3" t="str">
        <f t="shared" si="54"/>
        <v/>
      </c>
      <c r="M880" s="2" t="str">
        <f t="shared" si="55"/>
        <v/>
      </c>
      <c r="N880" t="str">
        <f t="shared" si="56"/>
        <v/>
      </c>
    </row>
    <row r="881" spans="7:14" ht="15.6" thickBot="1" x14ac:dyDescent="0.35">
      <c r="G881" s="10"/>
      <c r="J881" s="8"/>
      <c r="K881" s="2" t="str">
        <f t="shared" si="53"/>
        <v/>
      </c>
      <c r="L881" s="3" t="str">
        <f t="shared" si="54"/>
        <v/>
      </c>
      <c r="M881" s="2" t="str">
        <f t="shared" si="55"/>
        <v/>
      </c>
      <c r="N881" t="str">
        <f t="shared" si="56"/>
        <v/>
      </c>
    </row>
    <row r="882" spans="7:14" ht="15.6" thickBot="1" x14ac:dyDescent="0.35">
      <c r="G882" s="10"/>
      <c r="J882" s="8"/>
      <c r="K882" s="2" t="str">
        <f t="shared" si="53"/>
        <v/>
      </c>
      <c r="L882" s="3" t="str">
        <f t="shared" si="54"/>
        <v/>
      </c>
      <c r="M882" s="2" t="str">
        <f t="shared" si="55"/>
        <v/>
      </c>
      <c r="N882" t="str">
        <f t="shared" si="56"/>
        <v/>
      </c>
    </row>
    <row r="883" spans="7:14" ht="15.6" thickBot="1" x14ac:dyDescent="0.35">
      <c r="G883" s="10"/>
      <c r="J883" s="8"/>
      <c r="K883" s="2" t="str">
        <f t="shared" si="53"/>
        <v/>
      </c>
      <c r="L883" s="3" t="str">
        <f t="shared" si="54"/>
        <v/>
      </c>
      <c r="M883" s="2" t="str">
        <f t="shared" si="55"/>
        <v/>
      </c>
      <c r="N883" t="str">
        <f t="shared" si="56"/>
        <v/>
      </c>
    </row>
    <row r="884" spans="7:14" ht="15.6" thickBot="1" x14ac:dyDescent="0.35">
      <c r="G884" s="10"/>
      <c r="J884" s="8"/>
      <c r="K884" s="2" t="str">
        <f t="shared" si="53"/>
        <v/>
      </c>
      <c r="L884" s="3" t="str">
        <f t="shared" si="54"/>
        <v/>
      </c>
      <c r="M884" s="2" t="str">
        <f t="shared" si="55"/>
        <v/>
      </c>
      <c r="N884" t="str">
        <f t="shared" si="56"/>
        <v/>
      </c>
    </row>
    <row r="885" spans="7:14" ht="15.6" thickBot="1" x14ac:dyDescent="0.35">
      <c r="G885" s="10"/>
      <c r="J885" s="8"/>
      <c r="K885" s="2" t="str">
        <f t="shared" si="53"/>
        <v/>
      </c>
      <c r="L885" s="3" t="str">
        <f t="shared" si="54"/>
        <v/>
      </c>
      <c r="M885" s="2" t="str">
        <f t="shared" si="55"/>
        <v/>
      </c>
      <c r="N885" t="str">
        <f t="shared" si="56"/>
        <v/>
      </c>
    </row>
    <row r="886" spans="7:14" ht="15.6" thickBot="1" x14ac:dyDescent="0.35">
      <c r="G886" s="10"/>
      <c r="J886" s="8"/>
      <c r="K886" s="2" t="str">
        <f t="shared" si="53"/>
        <v/>
      </c>
      <c r="L886" s="3" t="str">
        <f t="shared" si="54"/>
        <v/>
      </c>
      <c r="M886" s="2" t="str">
        <f t="shared" si="55"/>
        <v/>
      </c>
      <c r="N886" t="str">
        <f t="shared" si="56"/>
        <v/>
      </c>
    </row>
    <row r="887" spans="7:14" ht="15.6" thickBot="1" x14ac:dyDescent="0.35">
      <c r="G887" s="10"/>
      <c r="J887" s="8"/>
      <c r="K887" s="2" t="str">
        <f t="shared" si="53"/>
        <v/>
      </c>
      <c r="L887" s="3" t="str">
        <f t="shared" si="54"/>
        <v/>
      </c>
      <c r="M887" s="2" t="str">
        <f t="shared" si="55"/>
        <v/>
      </c>
      <c r="N887" t="str">
        <f t="shared" si="56"/>
        <v/>
      </c>
    </row>
    <row r="888" spans="7:14" ht="15.6" thickBot="1" x14ac:dyDescent="0.35">
      <c r="G888" s="10"/>
      <c r="J888" s="8"/>
      <c r="K888" s="2" t="str">
        <f t="shared" si="53"/>
        <v/>
      </c>
      <c r="L888" s="3" t="str">
        <f t="shared" si="54"/>
        <v/>
      </c>
      <c r="M888" s="2" t="str">
        <f t="shared" si="55"/>
        <v/>
      </c>
      <c r="N888" t="str">
        <f t="shared" si="56"/>
        <v/>
      </c>
    </row>
    <row r="889" spans="7:14" ht="15.6" thickBot="1" x14ac:dyDescent="0.35">
      <c r="G889" s="10"/>
      <c r="J889" s="8"/>
      <c r="K889" s="2" t="str">
        <f t="shared" si="53"/>
        <v/>
      </c>
      <c r="L889" s="3" t="str">
        <f t="shared" si="54"/>
        <v/>
      </c>
      <c r="M889" s="2" t="str">
        <f t="shared" si="55"/>
        <v/>
      </c>
      <c r="N889" t="str">
        <f t="shared" si="56"/>
        <v/>
      </c>
    </row>
    <row r="890" spans="7:14" ht="15.6" thickBot="1" x14ac:dyDescent="0.35">
      <c r="G890" s="10"/>
      <c r="J890" s="8"/>
      <c r="K890" s="2" t="str">
        <f t="shared" si="53"/>
        <v/>
      </c>
      <c r="L890" s="3" t="str">
        <f t="shared" si="54"/>
        <v/>
      </c>
      <c r="M890" s="2" t="str">
        <f t="shared" si="55"/>
        <v/>
      </c>
      <c r="N890" t="str">
        <f t="shared" si="56"/>
        <v/>
      </c>
    </row>
    <row r="891" spans="7:14" ht="15.6" thickBot="1" x14ac:dyDescent="0.35">
      <c r="G891" s="10"/>
      <c r="J891" s="8"/>
      <c r="K891" s="2" t="str">
        <f t="shared" si="53"/>
        <v/>
      </c>
      <c r="L891" s="3" t="str">
        <f t="shared" si="54"/>
        <v/>
      </c>
      <c r="M891" s="2" t="str">
        <f t="shared" si="55"/>
        <v/>
      </c>
      <c r="N891" t="str">
        <f t="shared" si="56"/>
        <v/>
      </c>
    </row>
    <row r="892" spans="7:14" ht="15.6" thickBot="1" x14ac:dyDescent="0.35">
      <c r="G892" s="10"/>
      <c r="J892" s="8"/>
      <c r="K892" s="2" t="str">
        <f t="shared" si="53"/>
        <v/>
      </c>
      <c r="L892" s="3" t="str">
        <f t="shared" si="54"/>
        <v/>
      </c>
      <c r="M892" s="2" t="str">
        <f t="shared" si="55"/>
        <v/>
      </c>
      <c r="N892" t="str">
        <f t="shared" si="56"/>
        <v/>
      </c>
    </row>
    <row r="893" spans="7:14" ht="15.6" thickBot="1" x14ac:dyDescent="0.35">
      <c r="G893" s="10"/>
      <c r="J893" s="8"/>
      <c r="K893" s="2" t="str">
        <f t="shared" si="53"/>
        <v/>
      </c>
      <c r="L893" s="3" t="str">
        <f t="shared" si="54"/>
        <v/>
      </c>
      <c r="M893" s="2" t="str">
        <f t="shared" si="55"/>
        <v/>
      </c>
      <c r="N893" t="str">
        <f t="shared" si="56"/>
        <v/>
      </c>
    </row>
    <row r="894" spans="7:14" ht="15.6" thickBot="1" x14ac:dyDescent="0.35">
      <c r="G894" s="10"/>
      <c r="J894" s="8"/>
      <c r="K894" s="2" t="str">
        <f t="shared" si="53"/>
        <v/>
      </c>
      <c r="L894" s="3" t="str">
        <f t="shared" si="54"/>
        <v/>
      </c>
      <c r="M894" s="2" t="str">
        <f t="shared" si="55"/>
        <v/>
      </c>
      <c r="N894" t="str">
        <f t="shared" si="56"/>
        <v/>
      </c>
    </row>
    <row r="895" spans="7:14" ht="15.6" thickBot="1" x14ac:dyDescent="0.35">
      <c r="G895" s="10"/>
      <c r="J895" s="8"/>
      <c r="K895" s="2" t="str">
        <f t="shared" si="53"/>
        <v/>
      </c>
      <c r="L895" s="3" t="str">
        <f t="shared" si="54"/>
        <v/>
      </c>
      <c r="M895" s="2" t="str">
        <f t="shared" si="55"/>
        <v/>
      </c>
      <c r="N895" t="str">
        <f t="shared" si="56"/>
        <v/>
      </c>
    </row>
    <row r="896" spans="7:14" ht="15.6" thickBot="1" x14ac:dyDescent="0.35">
      <c r="G896" s="10"/>
      <c r="J896" s="8"/>
      <c r="K896" s="2" t="str">
        <f t="shared" si="53"/>
        <v/>
      </c>
      <c r="L896" s="3" t="str">
        <f t="shared" si="54"/>
        <v/>
      </c>
      <c r="M896" s="2" t="str">
        <f t="shared" si="55"/>
        <v/>
      </c>
      <c r="N896" t="str">
        <f t="shared" si="56"/>
        <v/>
      </c>
    </row>
    <row r="897" spans="7:14" ht="15.6" thickBot="1" x14ac:dyDescent="0.35">
      <c r="G897" s="10"/>
      <c r="J897" s="8"/>
      <c r="K897" s="2" t="str">
        <f t="shared" si="53"/>
        <v/>
      </c>
      <c r="L897" s="3" t="str">
        <f t="shared" si="54"/>
        <v/>
      </c>
      <c r="M897" s="2" t="str">
        <f t="shared" si="55"/>
        <v/>
      </c>
      <c r="N897" t="str">
        <f t="shared" si="56"/>
        <v/>
      </c>
    </row>
    <row r="898" spans="7:14" ht="15.6" thickBot="1" x14ac:dyDescent="0.35">
      <c r="G898" s="10"/>
      <c r="J898" s="8"/>
      <c r="K898" s="2" t="str">
        <f t="shared" si="53"/>
        <v/>
      </c>
      <c r="L898" s="3" t="str">
        <f t="shared" si="54"/>
        <v/>
      </c>
      <c r="M898" s="2" t="str">
        <f t="shared" si="55"/>
        <v/>
      </c>
      <c r="N898" t="str">
        <f t="shared" si="56"/>
        <v/>
      </c>
    </row>
    <row r="899" spans="7:14" ht="15.6" thickBot="1" x14ac:dyDescent="0.35">
      <c r="G899" s="10"/>
      <c r="J899" s="8"/>
      <c r="K899" s="2" t="str">
        <f t="shared" si="53"/>
        <v/>
      </c>
      <c r="L899" s="3" t="str">
        <f t="shared" si="54"/>
        <v/>
      </c>
      <c r="M899" s="2" t="str">
        <f t="shared" si="55"/>
        <v/>
      </c>
      <c r="N899" t="str">
        <f t="shared" si="56"/>
        <v/>
      </c>
    </row>
    <row r="900" spans="7:14" ht="15.6" thickBot="1" x14ac:dyDescent="0.35">
      <c r="G900" s="10"/>
      <c r="J900" s="8"/>
      <c r="K900" s="2" t="str">
        <f t="shared" si="53"/>
        <v/>
      </c>
      <c r="L900" s="3" t="str">
        <f t="shared" si="54"/>
        <v/>
      </c>
      <c r="M900" s="2" t="str">
        <f t="shared" si="55"/>
        <v/>
      </c>
      <c r="N900" t="str">
        <f t="shared" si="56"/>
        <v/>
      </c>
    </row>
    <row r="901" spans="7:14" ht="15.6" thickBot="1" x14ac:dyDescent="0.35">
      <c r="G901" s="10"/>
      <c r="J901" s="8"/>
      <c r="K901" s="2" t="str">
        <f t="shared" ref="K901:K964" si="57">SUBSTITUTE(I901,CHAR(10),"&lt;br&gt;")</f>
        <v/>
      </c>
      <c r="L901" s="3" t="str">
        <f t="shared" ref="L901:L964" si="58">IF(B901="","","{"&amp;$M$1&amp;"no"&amp;$M$1&amp;":"&amp;$M$1&amp;""&amp;B901&amp;""&amp;$M$1&amp;","&amp;$M$1&amp;"name"&amp;$M$1&amp;":"&amp;$M$1&amp;""&amp;C901&amp;""&amp;$M$1&amp;","&amp;$M$1&amp;"category"&amp;$M$1&amp;":"&amp;$M$1&amp;""&amp;D901&amp;""&amp;$M$1&amp;","&amp;$M$1&amp;"price"&amp;$M$1&amp;":"&amp;E901&amp;","&amp;$M$1&amp;"quantity"&amp;$M$1&amp;":"&amp;F901&amp;","&amp;$M$1&amp;"discount"&amp;$M$1&amp;":"&amp;G901*100&amp;","&amp;$M$1&amp;"images"&amp;$M$1&amp;":"&amp;$M$1&amp;""&amp;H901&amp;""&amp;$M$1&amp;","&amp;$M$1&amp;"description"&amp;$M$1&amp;":"&amp;$M$1&amp;""&amp;K901&amp;""&amp;$M$1&amp;"}")</f>
        <v/>
      </c>
      <c r="M901" s="2" t="str">
        <f t="shared" ref="M901:M964" si="59">IF(L902="","",",")</f>
        <v/>
      </c>
      <c r="N901" t="str">
        <f t="shared" si="56"/>
        <v/>
      </c>
    </row>
    <row r="902" spans="7:14" ht="15.6" thickBot="1" x14ac:dyDescent="0.35">
      <c r="G902" s="10"/>
      <c r="J902" s="8"/>
      <c r="K902" s="2" t="str">
        <f t="shared" si="57"/>
        <v/>
      </c>
      <c r="L902" s="3" t="str">
        <f t="shared" si="58"/>
        <v/>
      </c>
      <c r="M902" s="2" t="str">
        <f t="shared" si="59"/>
        <v/>
      </c>
      <c r="N902" t="str">
        <f t="shared" si="56"/>
        <v/>
      </c>
    </row>
    <row r="903" spans="7:14" ht="15.6" thickBot="1" x14ac:dyDescent="0.35">
      <c r="G903" s="10"/>
      <c r="J903" s="8"/>
      <c r="K903" s="2" t="str">
        <f t="shared" si="57"/>
        <v/>
      </c>
      <c r="L903" s="3" t="str">
        <f t="shared" si="58"/>
        <v/>
      </c>
      <c r="M903" s="2" t="str">
        <f t="shared" si="59"/>
        <v/>
      </c>
      <c r="N903" t="str">
        <f t="shared" si="56"/>
        <v/>
      </c>
    </row>
    <row r="904" spans="7:14" ht="15.6" thickBot="1" x14ac:dyDescent="0.35">
      <c r="G904" s="10"/>
      <c r="J904" s="8"/>
      <c r="K904" s="2" t="str">
        <f t="shared" si="57"/>
        <v/>
      </c>
      <c r="L904" s="3" t="str">
        <f t="shared" si="58"/>
        <v/>
      </c>
      <c r="M904" s="2" t="str">
        <f t="shared" si="59"/>
        <v/>
      </c>
      <c r="N904" t="str">
        <f t="shared" si="56"/>
        <v/>
      </c>
    </row>
    <row r="905" spans="7:14" ht="15.6" thickBot="1" x14ac:dyDescent="0.35">
      <c r="G905" s="10"/>
      <c r="J905" s="8"/>
      <c r="K905" s="2" t="str">
        <f t="shared" si="57"/>
        <v/>
      </c>
      <c r="L905" s="3" t="str">
        <f t="shared" si="58"/>
        <v/>
      </c>
      <c r="M905" s="2" t="str">
        <f t="shared" si="59"/>
        <v/>
      </c>
      <c r="N905" t="str">
        <f t="shared" ref="N905:N968" si="60">_xlfn.CONCAT(L905,M905)</f>
        <v/>
      </c>
    </row>
    <row r="906" spans="7:14" ht="15.6" thickBot="1" x14ac:dyDescent="0.35">
      <c r="G906" s="10"/>
      <c r="J906" s="8"/>
      <c r="K906" s="2" t="str">
        <f t="shared" si="57"/>
        <v/>
      </c>
      <c r="L906" s="3" t="str">
        <f t="shared" si="58"/>
        <v/>
      </c>
      <c r="M906" s="2" t="str">
        <f t="shared" si="59"/>
        <v/>
      </c>
      <c r="N906" t="str">
        <f t="shared" si="60"/>
        <v/>
      </c>
    </row>
    <row r="907" spans="7:14" ht="15.6" thickBot="1" x14ac:dyDescent="0.35">
      <c r="G907" s="10"/>
      <c r="J907" s="8"/>
      <c r="K907" s="2" t="str">
        <f t="shared" si="57"/>
        <v/>
      </c>
      <c r="L907" s="3" t="str">
        <f t="shared" si="58"/>
        <v/>
      </c>
      <c r="M907" s="2" t="str">
        <f t="shared" si="59"/>
        <v/>
      </c>
      <c r="N907" t="str">
        <f t="shared" si="60"/>
        <v/>
      </c>
    </row>
    <row r="908" spans="7:14" ht="15.6" thickBot="1" x14ac:dyDescent="0.35">
      <c r="G908" s="10"/>
      <c r="J908" s="8"/>
      <c r="K908" s="2" t="str">
        <f t="shared" si="57"/>
        <v/>
      </c>
      <c r="L908" s="3" t="str">
        <f t="shared" si="58"/>
        <v/>
      </c>
      <c r="M908" s="2" t="str">
        <f t="shared" si="59"/>
        <v/>
      </c>
      <c r="N908" t="str">
        <f t="shared" si="60"/>
        <v/>
      </c>
    </row>
    <row r="909" spans="7:14" ht="15.6" thickBot="1" x14ac:dyDescent="0.35">
      <c r="G909" s="10"/>
      <c r="J909" s="8"/>
      <c r="K909" s="2" t="str">
        <f t="shared" si="57"/>
        <v/>
      </c>
      <c r="L909" s="3" t="str">
        <f t="shared" si="58"/>
        <v/>
      </c>
      <c r="M909" s="2" t="str">
        <f t="shared" si="59"/>
        <v/>
      </c>
      <c r="N909" t="str">
        <f t="shared" si="60"/>
        <v/>
      </c>
    </row>
    <row r="910" spans="7:14" ht="15.6" thickBot="1" x14ac:dyDescent="0.35">
      <c r="G910" s="10"/>
      <c r="J910" s="8"/>
      <c r="K910" s="2" t="str">
        <f t="shared" si="57"/>
        <v/>
      </c>
      <c r="L910" s="3" t="str">
        <f t="shared" si="58"/>
        <v/>
      </c>
      <c r="M910" s="2" t="str">
        <f t="shared" si="59"/>
        <v/>
      </c>
      <c r="N910" t="str">
        <f t="shared" si="60"/>
        <v/>
      </c>
    </row>
    <row r="911" spans="7:14" ht="15.6" thickBot="1" x14ac:dyDescent="0.35">
      <c r="G911" s="10"/>
      <c r="J911" s="8"/>
      <c r="K911" s="2" t="str">
        <f t="shared" si="57"/>
        <v/>
      </c>
      <c r="L911" s="3" t="str">
        <f t="shared" si="58"/>
        <v/>
      </c>
      <c r="M911" s="2" t="str">
        <f t="shared" si="59"/>
        <v/>
      </c>
      <c r="N911" t="str">
        <f t="shared" si="60"/>
        <v/>
      </c>
    </row>
    <row r="912" spans="7:14" ht="15.6" thickBot="1" x14ac:dyDescent="0.35">
      <c r="G912" s="10"/>
      <c r="J912" s="8"/>
      <c r="K912" s="2" t="str">
        <f t="shared" si="57"/>
        <v/>
      </c>
      <c r="L912" s="3" t="str">
        <f t="shared" si="58"/>
        <v/>
      </c>
      <c r="M912" s="2" t="str">
        <f t="shared" si="59"/>
        <v/>
      </c>
      <c r="N912" t="str">
        <f t="shared" si="60"/>
        <v/>
      </c>
    </row>
    <row r="913" spans="7:14" ht="15.6" thickBot="1" x14ac:dyDescent="0.35">
      <c r="G913" s="10"/>
      <c r="J913" s="8"/>
      <c r="K913" s="2" t="str">
        <f t="shared" si="57"/>
        <v/>
      </c>
      <c r="L913" s="3" t="str">
        <f t="shared" si="58"/>
        <v/>
      </c>
      <c r="M913" s="2" t="str">
        <f t="shared" si="59"/>
        <v/>
      </c>
      <c r="N913" t="str">
        <f t="shared" si="60"/>
        <v/>
      </c>
    </row>
    <row r="914" spans="7:14" ht="15.6" thickBot="1" x14ac:dyDescent="0.35">
      <c r="G914" s="10"/>
      <c r="J914" s="8"/>
      <c r="K914" s="2" t="str">
        <f t="shared" si="57"/>
        <v/>
      </c>
      <c r="L914" s="3" t="str">
        <f t="shared" si="58"/>
        <v/>
      </c>
      <c r="M914" s="2" t="str">
        <f t="shared" si="59"/>
        <v/>
      </c>
      <c r="N914" t="str">
        <f t="shared" si="60"/>
        <v/>
      </c>
    </row>
    <row r="915" spans="7:14" ht="15.6" thickBot="1" x14ac:dyDescent="0.35">
      <c r="G915" s="10"/>
      <c r="J915" s="8"/>
      <c r="K915" s="2" t="str">
        <f t="shared" si="57"/>
        <v/>
      </c>
      <c r="L915" s="3" t="str">
        <f t="shared" si="58"/>
        <v/>
      </c>
      <c r="M915" s="2" t="str">
        <f t="shared" si="59"/>
        <v/>
      </c>
      <c r="N915" t="str">
        <f t="shared" si="60"/>
        <v/>
      </c>
    </row>
    <row r="916" spans="7:14" ht="15.6" thickBot="1" x14ac:dyDescent="0.35">
      <c r="G916" s="10"/>
      <c r="J916" s="8"/>
      <c r="K916" s="2" t="str">
        <f t="shared" si="57"/>
        <v/>
      </c>
      <c r="L916" s="3" t="str">
        <f t="shared" si="58"/>
        <v/>
      </c>
      <c r="M916" s="2" t="str">
        <f t="shared" si="59"/>
        <v/>
      </c>
      <c r="N916" t="str">
        <f t="shared" si="60"/>
        <v/>
      </c>
    </row>
    <row r="917" spans="7:14" ht="15.6" thickBot="1" x14ac:dyDescent="0.35">
      <c r="G917" s="10"/>
      <c r="J917" s="8"/>
      <c r="K917" s="2" t="str">
        <f t="shared" si="57"/>
        <v/>
      </c>
      <c r="L917" s="3" t="str">
        <f t="shared" si="58"/>
        <v/>
      </c>
      <c r="M917" s="2" t="str">
        <f t="shared" si="59"/>
        <v/>
      </c>
      <c r="N917" t="str">
        <f t="shared" si="60"/>
        <v/>
      </c>
    </row>
    <row r="918" spans="7:14" ht="15.6" thickBot="1" x14ac:dyDescent="0.35">
      <c r="G918" s="10"/>
      <c r="J918" s="8"/>
      <c r="K918" s="2" t="str">
        <f t="shared" si="57"/>
        <v/>
      </c>
      <c r="L918" s="3" t="str">
        <f t="shared" si="58"/>
        <v/>
      </c>
      <c r="M918" s="2" t="str">
        <f t="shared" si="59"/>
        <v/>
      </c>
      <c r="N918" t="str">
        <f t="shared" si="60"/>
        <v/>
      </c>
    </row>
    <row r="919" spans="7:14" ht="15.6" thickBot="1" x14ac:dyDescent="0.35">
      <c r="G919" s="10"/>
      <c r="J919" s="8"/>
      <c r="K919" s="2" t="str">
        <f t="shared" si="57"/>
        <v/>
      </c>
      <c r="L919" s="3" t="str">
        <f t="shared" si="58"/>
        <v/>
      </c>
      <c r="M919" s="2" t="str">
        <f t="shared" si="59"/>
        <v/>
      </c>
      <c r="N919" t="str">
        <f t="shared" si="60"/>
        <v/>
      </c>
    </row>
    <row r="920" spans="7:14" ht="15.6" thickBot="1" x14ac:dyDescent="0.35">
      <c r="G920" s="10"/>
      <c r="J920" s="8"/>
      <c r="K920" s="2" t="str">
        <f t="shared" si="57"/>
        <v/>
      </c>
      <c r="L920" s="3" t="str">
        <f t="shared" si="58"/>
        <v/>
      </c>
      <c r="M920" s="2" t="str">
        <f t="shared" si="59"/>
        <v/>
      </c>
      <c r="N920" t="str">
        <f t="shared" si="60"/>
        <v/>
      </c>
    </row>
    <row r="921" spans="7:14" ht="15.6" thickBot="1" x14ac:dyDescent="0.35">
      <c r="G921" s="10"/>
      <c r="J921" s="8"/>
      <c r="K921" s="2" t="str">
        <f t="shared" si="57"/>
        <v/>
      </c>
      <c r="L921" s="3" t="str">
        <f t="shared" si="58"/>
        <v/>
      </c>
      <c r="M921" s="2" t="str">
        <f t="shared" si="59"/>
        <v/>
      </c>
      <c r="N921" t="str">
        <f t="shared" si="60"/>
        <v/>
      </c>
    </row>
    <row r="922" spans="7:14" ht="15.6" thickBot="1" x14ac:dyDescent="0.35">
      <c r="G922" s="10"/>
      <c r="J922" s="8"/>
      <c r="K922" s="2" t="str">
        <f t="shared" si="57"/>
        <v/>
      </c>
      <c r="L922" s="3" t="str">
        <f t="shared" si="58"/>
        <v/>
      </c>
      <c r="M922" s="2" t="str">
        <f t="shared" si="59"/>
        <v/>
      </c>
      <c r="N922" t="str">
        <f t="shared" si="60"/>
        <v/>
      </c>
    </row>
    <row r="923" spans="7:14" ht="15.6" thickBot="1" x14ac:dyDescent="0.35">
      <c r="G923" s="10"/>
      <c r="J923" s="8"/>
      <c r="K923" s="2" t="str">
        <f t="shared" si="57"/>
        <v/>
      </c>
      <c r="L923" s="3" t="str">
        <f t="shared" si="58"/>
        <v/>
      </c>
      <c r="M923" s="2" t="str">
        <f t="shared" si="59"/>
        <v/>
      </c>
      <c r="N923" t="str">
        <f t="shared" si="60"/>
        <v/>
      </c>
    </row>
    <row r="924" spans="7:14" ht="15.6" thickBot="1" x14ac:dyDescent="0.35">
      <c r="G924" s="10"/>
      <c r="J924" s="8"/>
      <c r="K924" s="2" t="str">
        <f t="shared" si="57"/>
        <v/>
      </c>
      <c r="L924" s="3" t="str">
        <f t="shared" si="58"/>
        <v/>
      </c>
      <c r="M924" s="2" t="str">
        <f t="shared" si="59"/>
        <v/>
      </c>
      <c r="N924" t="str">
        <f t="shared" si="60"/>
        <v/>
      </c>
    </row>
    <row r="925" spans="7:14" ht="15.6" thickBot="1" x14ac:dyDescent="0.35">
      <c r="G925" s="10"/>
      <c r="J925" s="8"/>
      <c r="K925" s="2" t="str">
        <f t="shared" si="57"/>
        <v/>
      </c>
      <c r="L925" s="3" t="str">
        <f t="shared" si="58"/>
        <v/>
      </c>
      <c r="M925" s="2" t="str">
        <f t="shared" si="59"/>
        <v/>
      </c>
      <c r="N925" t="str">
        <f t="shared" si="60"/>
        <v/>
      </c>
    </row>
    <row r="926" spans="7:14" ht="15.6" thickBot="1" x14ac:dyDescent="0.35">
      <c r="G926" s="10"/>
      <c r="J926" s="8"/>
      <c r="K926" s="2" t="str">
        <f t="shared" si="57"/>
        <v/>
      </c>
      <c r="L926" s="3" t="str">
        <f t="shared" si="58"/>
        <v/>
      </c>
      <c r="M926" s="2" t="str">
        <f t="shared" si="59"/>
        <v/>
      </c>
      <c r="N926" t="str">
        <f t="shared" si="60"/>
        <v/>
      </c>
    </row>
    <row r="927" spans="7:14" ht="15.6" thickBot="1" x14ac:dyDescent="0.35">
      <c r="G927" s="10"/>
      <c r="J927" s="8"/>
      <c r="K927" s="2" t="str">
        <f t="shared" si="57"/>
        <v/>
      </c>
      <c r="L927" s="3" t="str">
        <f t="shared" si="58"/>
        <v/>
      </c>
      <c r="M927" s="2" t="str">
        <f t="shared" si="59"/>
        <v/>
      </c>
      <c r="N927" t="str">
        <f t="shared" si="60"/>
        <v/>
      </c>
    </row>
    <row r="928" spans="7:14" ht="15.6" thickBot="1" x14ac:dyDescent="0.35">
      <c r="G928" s="10"/>
      <c r="J928" s="8"/>
      <c r="K928" s="2" t="str">
        <f t="shared" si="57"/>
        <v/>
      </c>
      <c r="L928" s="3" t="str">
        <f t="shared" si="58"/>
        <v/>
      </c>
      <c r="M928" s="2" t="str">
        <f t="shared" si="59"/>
        <v/>
      </c>
      <c r="N928" t="str">
        <f t="shared" si="60"/>
        <v/>
      </c>
    </row>
    <row r="929" spans="7:14" ht="15.6" thickBot="1" x14ac:dyDescent="0.35">
      <c r="G929" s="10"/>
      <c r="J929" s="8"/>
      <c r="K929" s="2" t="str">
        <f t="shared" si="57"/>
        <v/>
      </c>
      <c r="L929" s="3" t="str">
        <f t="shared" si="58"/>
        <v/>
      </c>
      <c r="M929" s="2" t="str">
        <f t="shared" si="59"/>
        <v/>
      </c>
      <c r="N929" t="str">
        <f t="shared" si="60"/>
        <v/>
      </c>
    </row>
    <row r="930" spans="7:14" ht="15.6" thickBot="1" x14ac:dyDescent="0.35">
      <c r="G930" s="10"/>
      <c r="J930" s="8"/>
      <c r="K930" s="2" t="str">
        <f t="shared" si="57"/>
        <v/>
      </c>
      <c r="L930" s="3" t="str">
        <f t="shared" si="58"/>
        <v/>
      </c>
      <c r="M930" s="2" t="str">
        <f t="shared" si="59"/>
        <v/>
      </c>
      <c r="N930" t="str">
        <f t="shared" si="60"/>
        <v/>
      </c>
    </row>
    <row r="931" spans="7:14" ht="15.6" thickBot="1" x14ac:dyDescent="0.35">
      <c r="G931" s="10"/>
      <c r="J931" s="8"/>
      <c r="K931" s="2" t="str">
        <f t="shared" si="57"/>
        <v/>
      </c>
      <c r="L931" s="3" t="str">
        <f t="shared" si="58"/>
        <v/>
      </c>
      <c r="M931" s="2" t="str">
        <f t="shared" si="59"/>
        <v/>
      </c>
      <c r="N931" t="str">
        <f t="shared" si="60"/>
        <v/>
      </c>
    </row>
    <row r="932" spans="7:14" ht="15.6" thickBot="1" x14ac:dyDescent="0.35">
      <c r="G932" s="10"/>
      <c r="J932" s="8"/>
      <c r="K932" s="2" t="str">
        <f t="shared" si="57"/>
        <v/>
      </c>
      <c r="L932" s="3" t="str">
        <f t="shared" si="58"/>
        <v/>
      </c>
      <c r="M932" s="2" t="str">
        <f t="shared" si="59"/>
        <v/>
      </c>
      <c r="N932" t="str">
        <f t="shared" si="60"/>
        <v/>
      </c>
    </row>
    <row r="933" spans="7:14" ht="15.6" thickBot="1" x14ac:dyDescent="0.35">
      <c r="G933" s="10"/>
      <c r="J933" s="8"/>
      <c r="K933" s="2" t="str">
        <f t="shared" si="57"/>
        <v/>
      </c>
      <c r="L933" s="3" t="str">
        <f t="shared" si="58"/>
        <v/>
      </c>
      <c r="M933" s="2" t="str">
        <f t="shared" si="59"/>
        <v/>
      </c>
      <c r="N933" t="str">
        <f t="shared" si="60"/>
        <v/>
      </c>
    </row>
    <row r="934" spans="7:14" ht="15.6" thickBot="1" x14ac:dyDescent="0.35">
      <c r="G934" s="10"/>
      <c r="J934" s="8"/>
      <c r="K934" s="2" t="str">
        <f t="shared" si="57"/>
        <v/>
      </c>
      <c r="L934" s="3" t="str">
        <f t="shared" si="58"/>
        <v/>
      </c>
      <c r="M934" s="2" t="str">
        <f t="shared" si="59"/>
        <v/>
      </c>
      <c r="N934" t="str">
        <f t="shared" si="60"/>
        <v/>
      </c>
    </row>
    <row r="935" spans="7:14" ht="15.6" thickBot="1" x14ac:dyDescent="0.35">
      <c r="G935" s="10"/>
      <c r="J935" s="8"/>
      <c r="K935" s="2" t="str">
        <f t="shared" si="57"/>
        <v/>
      </c>
      <c r="L935" s="3" t="str">
        <f t="shared" si="58"/>
        <v/>
      </c>
      <c r="M935" s="2" t="str">
        <f t="shared" si="59"/>
        <v/>
      </c>
      <c r="N935" t="str">
        <f t="shared" si="60"/>
        <v/>
      </c>
    </row>
    <row r="936" spans="7:14" ht="15.6" thickBot="1" x14ac:dyDescent="0.35">
      <c r="G936" s="10"/>
      <c r="J936" s="8"/>
      <c r="K936" s="2" t="str">
        <f t="shared" si="57"/>
        <v/>
      </c>
      <c r="L936" s="3" t="str">
        <f t="shared" si="58"/>
        <v/>
      </c>
      <c r="M936" s="2" t="str">
        <f t="shared" si="59"/>
        <v/>
      </c>
      <c r="N936" t="str">
        <f t="shared" si="60"/>
        <v/>
      </c>
    </row>
    <row r="937" spans="7:14" ht="15.6" thickBot="1" x14ac:dyDescent="0.35">
      <c r="G937" s="10"/>
      <c r="J937" s="8"/>
      <c r="K937" s="2" t="str">
        <f t="shared" si="57"/>
        <v/>
      </c>
      <c r="L937" s="3" t="str">
        <f t="shared" si="58"/>
        <v/>
      </c>
      <c r="M937" s="2" t="str">
        <f t="shared" si="59"/>
        <v/>
      </c>
      <c r="N937" t="str">
        <f t="shared" si="60"/>
        <v/>
      </c>
    </row>
    <row r="938" spans="7:14" ht="15.6" thickBot="1" x14ac:dyDescent="0.35">
      <c r="G938" s="10"/>
      <c r="J938" s="8"/>
      <c r="K938" s="2" t="str">
        <f t="shared" si="57"/>
        <v/>
      </c>
      <c r="L938" s="3" t="str">
        <f t="shared" si="58"/>
        <v/>
      </c>
      <c r="M938" s="2" t="str">
        <f t="shared" si="59"/>
        <v/>
      </c>
      <c r="N938" t="str">
        <f t="shared" si="60"/>
        <v/>
      </c>
    </row>
    <row r="939" spans="7:14" ht="15.6" thickBot="1" x14ac:dyDescent="0.35">
      <c r="G939" s="10"/>
      <c r="J939" s="8"/>
      <c r="K939" s="2" t="str">
        <f t="shared" si="57"/>
        <v/>
      </c>
      <c r="L939" s="3" t="str">
        <f t="shared" si="58"/>
        <v/>
      </c>
      <c r="M939" s="2" t="str">
        <f t="shared" si="59"/>
        <v/>
      </c>
      <c r="N939" t="str">
        <f t="shared" si="60"/>
        <v/>
      </c>
    </row>
    <row r="940" spans="7:14" ht="15.6" thickBot="1" x14ac:dyDescent="0.35">
      <c r="G940" s="10"/>
      <c r="J940" s="8"/>
      <c r="K940" s="2" t="str">
        <f t="shared" si="57"/>
        <v/>
      </c>
      <c r="L940" s="3" t="str">
        <f t="shared" si="58"/>
        <v/>
      </c>
      <c r="M940" s="2" t="str">
        <f t="shared" si="59"/>
        <v/>
      </c>
      <c r="N940" t="str">
        <f t="shared" si="60"/>
        <v/>
      </c>
    </row>
    <row r="941" spans="7:14" ht="15.6" thickBot="1" x14ac:dyDescent="0.35">
      <c r="G941" s="10"/>
      <c r="J941" s="8"/>
      <c r="K941" s="2" t="str">
        <f t="shared" si="57"/>
        <v/>
      </c>
      <c r="L941" s="3" t="str">
        <f t="shared" si="58"/>
        <v/>
      </c>
      <c r="M941" s="2" t="str">
        <f t="shared" si="59"/>
        <v/>
      </c>
      <c r="N941" t="str">
        <f t="shared" si="60"/>
        <v/>
      </c>
    </row>
    <row r="942" spans="7:14" ht="15.6" thickBot="1" x14ac:dyDescent="0.35">
      <c r="G942" s="10"/>
      <c r="J942" s="8"/>
      <c r="K942" s="2" t="str">
        <f t="shared" si="57"/>
        <v/>
      </c>
      <c r="L942" s="3" t="str">
        <f t="shared" si="58"/>
        <v/>
      </c>
      <c r="M942" s="2" t="str">
        <f t="shared" si="59"/>
        <v/>
      </c>
      <c r="N942" t="str">
        <f t="shared" si="60"/>
        <v/>
      </c>
    </row>
    <row r="943" spans="7:14" ht="15.6" thickBot="1" x14ac:dyDescent="0.35">
      <c r="G943" s="10"/>
      <c r="J943" s="8"/>
      <c r="K943" s="2" t="str">
        <f t="shared" si="57"/>
        <v/>
      </c>
      <c r="L943" s="3" t="str">
        <f t="shared" si="58"/>
        <v/>
      </c>
      <c r="M943" s="2" t="str">
        <f t="shared" si="59"/>
        <v/>
      </c>
      <c r="N943" t="str">
        <f t="shared" si="60"/>
        <v/>
      </c>
    </row>
    <row r="944" spans="7:14" ht="15.6" thickBot="1" x14ac:dyDescent="0.35">
      <c r="G944" s="10"/>
      <c r="J944" s="8"/>
      <c r="K944" s="2" t="str">
        <f t="shared" si="57"/>
        <v/>
      </c>
      <c r="L944" s="3" t="str">
        <f t="shared" si="58"/>
        <v/>
      </c>
      <c r="M944" s="2" t="str">
        <f t="shared" si="59"/>
        <v/>
      </c>
      <c r="N944" t="str">
        <f t="shared" si="60"/>
        <v/>
      </c>
    </row>
    <row r="945" spans="7:14" ht="15.6" thickBot="1" x14ac:dyDescent="0.35">
      <c r="G945" s="10"/>
      <c r="J945" s="8"/>
      <c r="K945" s="2" t="str">
        <f t="shared" si="57"/>
        <v/>
      </c>
      <c r="L945" s="3" t="str">
        <f t="shared" si="58"/>
        <v/>
      </c>
      <c r="M945" s="2" t="str">
        <f t="shared" si="59"/>
        <v/>
      </c>
      <c r="N945" t="str">
        <f t="shared" si="60"/>
        <v/>
      </c>
    </row>
    <row r="946" spans="7:14" ht="15.6" thickBot="1" x14ac:dyDescent="0.35">
      <c r="G946" s="10"/>
      <c r="J946" s="8"/>
      <c r="K946" s="2" t="str">
        <f t="shared" si="57"/>
        <v/>
      </c>
      <c r="L946" s="3" t="str">
        <f t="shared" si="58"/>
        <v/>
      </c>
      <c r="M946" s="2" t="str">
        <f t="shared" si="59"/>
        <v/>
      </c>
      <c r="N946" t="str">
        <f t="shared" si="60"/>
        <v/>
      </c>
    </row>
    <row r="947" spans="7:14" ht="15.6" thickBot="1" x14ac:dyDescent="0.35">
      <c r="G947" s="10"/>
      <c r="J947" s="8"/>
      <c r="K947" s="2" t="str">
        <f t="shared" si="57"/>
        <v/>
      </c>
      <c r="L947" s="3" t="str">
        <f t="shared" si="58"/>
        <v/>
      </c>
      <c r="M947" s="2" t="str">
        <f t="shared" si="59"/>
        <v/>
      </c>
      <c r="N947" t="str">
        <f t="shared" si="60"/>
        <v/>
      </c>
    </row>
    <row r="948" spans="7:14" ht="15.6" thickBot="1" x14ac:dyDescent="0.35">
      <c r="G948" s="10"/>
      <c r="J948" s="8"/>
      <c r="K948" s="2" t="str">
        <f t="shared" si="57"/>
        <v/>
      </c>
      <c r="L948" s="3" t="str">
        <f t="shared" si="58"/>
        <v/>
      </c>
      <c r="M948" s="2" t="str">
        <f t="shared" si="59"/>
        <v/>
      </c>
      <c r="N948" t="str">
        <f t="shared" si="60"/>
        <v/>
      </c>
    </row>
    <row r="949" spans="7:14" ht="15.6" thickBot="1" x14ac:dyDescent="0.35">
      <c r="G949" s="10"/>
      <c r="J949" s="8"/>
      <c r="K949" s="2" t="str">
        <f t="shared" si="57"/>
        <v/>
      </c>
      <c r="L949" s="3" t="str">
        <f t="shared" si="58"/>
        <v/>
      </c>
      <c r="M949" s="2" t="str">
        <f t="shared" si="59"/>
        <v/>
      </c>
      <c r="N949" t="str">
        <f t="shared" si="60"/>
        <v/>
      </c>
    </row>
    <row r="950" spans="7:14" ht="15.6" thickBot="1" x14ac:dyDescent="0.35">
      <c r="G950" s="10"/>
      <c r="J950" s="8"/>
      <c r="K950" s="2" t="str">
        <f t="shared" si="57"/>
        <v/>
      </c>
      <c r="L950" s="3" t="str">
        <f t="shared" si="58"/>
        <v/>
      </c>
      <c r="M950" s="2" t="str">
        <f t="shared" si="59"/>
        <v/>
      </c>
      <c r="N950" t="str">
        <f t="shared" si="60"/>
        <v/>
      </c>
    </row>
    <row r="951" spans="7:14" ht="15.6" thickBot="1" x14ac:dyDescent="0.35">
      <c r="G951" s="10"/>
      <c r="J951" s="8"/>
      <c r="K951" s="2" t="str">
        <f t="shared" si="57"/>
        <v/>
      </c>
      <c r="L951" s="3" t="str">
        <f t="shared" si="58"/>
        <v/>
      </c>
      <c r="M951" s="2" t="str">
        <f t="shared" si="59"/>
        <v/>
      </c>
      <c r="N951" t="str">
        <f t="shared" si="60"/>
        <v/>
      </c>
    </row>
    <row r="952" spans="7:14" ht="15.6" thickBot="1" x14ac:dyDescent="0.35">
      <c r="G952" s="10"/>
      <c r="J952" s="8"/>
      <c r="K952" s="2" t="str">
        <f t="shared" si="57"/>
        <v/>
      </c>
      <c r="L952" s="3" t="str">
        <f t="shared" si="58"/>
        <v/>
      </c>
      <c r="M952" s="2" t="str">
        <f t="shared" si="59"/>
        <v/>
      </c>
      <c r="N952" t="str">
        <f t="shared" si="60"/>
        <v/>
      </c>
    </row>
    <row r="953" spans="7:14" ht="15.6" thickBot="1" x14ac:dyDescent="0.35">
      <c r="G953" s="10"/>
      <c r="J953" s="8"/>
      <c r="K953" s="2" t="str">
        <f t="shared" si="57"/>
        <v/>
      </c>
      <c r="L953" s="3" t="str">
        <f t="shared" si="58"/>
        <v/>
      </c>
      <c r="M953" s="2" t="str">
        <f t="shared" si="59"/>
        <v/>
      </c>
      <c r="N953" t="str">
        <f t="shared" si="60"/>
        <v/>
      </c>
    </row>
    <row r="954" spans="7:14" ht="15.6" thickBot="1" x14ac:dyDescent="0.35">
      <c r="G954" s="10"/>
      <c r="J954" s="8"/>
      <c r="K954" s="2" t="str">
        <f t="shared" si="57"/>
        <v/>
      </c>
      <c r="L954" s="3" t="str">
        <f t="shared" si="58"/>
        <v/>
      </c>
      <c r="M954" s="2" t="str">
        <f t="shared" si="59"/>
        <v/>
      </c>
      <c r="N954" t="str">
        <f t="shared" si="60"/>
        <v/>
      </c>
    </row>
    <row r="955" spans="7:14" ht="15.6" thickBot="1" x14ac:dyDescent="0.35">
      <c r="G955" s="10"/>
      <c r="J955" s="8"/>
      <c r="K955" s="2" t="str">
        <f t="shared" si="57"/>
        <v/>
      </c>
      <c r="L955" s="3" t="str">
        <f t="shared" si="58"/>
        <v/>
      </c>
      <c r="M955" s="2" t="str">
        <f t="shared" si="59"/>
        <v/>
      </c>
      <c r="N955" t="str">
        <f t="shared" si="60"/>
        <v/>
      </c>
    </row>
    <row r="956" spans="7:14" ht="15.6" thickBot="1" x14ac:dyDescent="0.35">
      <c r="G956" s="10"/>
      <c r="J956" s="8"/>
      <c r="K956" s="2" t="str">
        <f t="shared" si="57"/>
        <v/>
      </c>
      <c r="L956" s="3" t="str">
        <f t="shared" si="58"/>
        <v/>
      </c>
      <c r="M956" s="2" t="str">
        <f t="shared" si="59"/>
        <v/>
      </c>
      <c r="N956" t="str">
        <f t="shared" si="60"/>
        <v/>
      </c>
    </row>
    <row r="957" spans="7:14" ht="15.6" thickBot="1" x14ac:dyDescent="0.35">
      <c r="G957" s="10"/>
      <c r="J957" s="8"/>
      <c r="K957" s="2" t="str">
        <f t="shared" si="57"/>
        <v/>
      </c>
      <c r="L957" s="3" t="str">
        <f t="shared" si="58"/>
        <v/>
      </c>
      <c r="M957" s="2" t="str">
        <f t="shared" si="59"/>
        <v/>
      </c>
      <c r="N957" t="str">
        <f t="shared" si="60"/>
        <v/>
      </c>
    </row>
    <row r="958" spans="7:14" ht="15.6" thickBot="1" x14ac:dyDescent="0.35">
      <c r="G958" s="10"/>
      <c r="J958" s="8"/>
      <c r="K958" s="2" t="str">
        <f t="shared" si="57"/>
        <v/>
      </c>
      <c r="L958" s="3" t="str">
        <f t="shared" si="58"/>
        <v/>
      </c>
      <c r="M958" s="2" t="str">
        <f t="shared" si="59"/>
        <v/>
      </c>
      <c r="N958" t="str">
        <f t="shared" si="60"/>
        <v/>
      </c>
    </row>
    <row r="959" spans="7:14" ht="15.6" thickBot="1" x14ac:dyDescent="0.35">
      <c r="G959" s="10"/>
      <c r="J959" s="8"/>
      <c r="K959" s="2" t="str">
        <f t="shared" si="57"/>
        <v/>
      </c>
      <c r="L959" s="3" t="str">
        <f t="shared" si="58"/>
        <v/>
      </c>
      <c r="M959" s="2" t="str">
        <f t="shared" si="59"/>
        <v/>
      </c>
      <c r="N959" t="str">
        <f t="shared" si="60"/>
        <v/>
      </c>
    </row>
    <row r="960" spans="7:14" ht="15.6" thickBot="1" x14ac:dyDescent="0.35">
      <c r="G960" s="10"/>
      <c r="J960" s="8"/>
      <c r="K960" s="2" t="str">
        <f t="shared" si="57"/>
        <v/>
      </c>
      <c r="L960" s="3" t="str">
        <f t="shared" si="58"/>
        <v/>
      </c>
      <c r="M960" s="2" t="str">
        <f t="shared" si="59"/>
        <v/>
      </c>
      <c r="N960" t="str">
        <f t="shared" si="60"/>
        <v/>
      </c>
    </row>
    <row r="961" spans="7:14" ht="15.6" thickBot="1" x14ac:dyDescent="0.35">
      <c r="G961" s="10"/>
      <c r="J961" s="8"/>
      <c r="K961" s="2" t="str">
        <f t="shared" si="57"/>
        <v/>
      </c>
      <c r="L961" s="3" t="str">
        <f t="shared" si="58"/>
        <v/>
      </c>
      <c r="M961" s="2" t="str">
        <f t="shared" si="59"/>
        <v/>
      </c>
      <c r="N961" t="str">
        <f t="shared" si="60"/>
        <v/>
      </c>
    </row>
    <row r="962" spans="7:14" ht="15.6" thickBot="1" x14ac:dyDescent="0.35">
      <c r="G962" s="10"/>
      <c r="J962" s="8"/>
      <c r="K962" s="2" t="str">
        <f t="shared" si="57"/>
        <v/>
      </c>
      <c r="L962" s="3" t="str">
        <f t="shared" si="58"/>
        <v/>
      </c>
      <c r="M962" s="2" t="str">
        <f t="shared" si="59"/>
        <v/>
      </c>
      <c r="N962" t="str">
        <f t="shared" si="60"/>
        <v/>
      </c>
    </row>
    <row r="963" spans="7:14" ht="15.6" thickBot="1" x14ac:dyDescent="0.35">
      <c r="G963" s="10"/>
      <c r="J963" s="8"/>
      <c r="K963" s="2" t="str">
        <f t="shared" si="57"/>
        <v/>
      </c>
      <c r="L963" s="3" t="str">
        <f t="shared" si="58"/>
        <v/>
      </c>
      <c r="M963" s="2" t="str">
        <f t="shared" si="59"/>
        <v/>
      </c>
      <c r="N963" t="str">
        <f t="shared" si="60"/>
        <v/>
      </c>
    </row>
    <row r="964" spans="7:14" ht="15.6" thickBot="1" x14ac:dyDescent="0.35">
      <c r="G964" s="10"/>
      <c r="J964" s="8"/>
      <c r="K964" s="2" t="str">
        <f t="shared" si="57"/>
        <v/>
      </c>
      <c r="L964" s="3" t="str">
        <f t="shared" si="58"/>
        <v/>
      </c>
      <c r="M964" s="2" t="str">
        <f t="shared" si="59"/>
        <v/>
      </c>
      <c r="N964" t="str">
        <f t="shared" si="60"/>
        <v/>
      </c>
    </row>
    <row r="965" spans="7:14" ht="15.6" thickBot="1" x14ac:dyDescent="0.35">
      <c r="G965" s="10"/>
      <c r="J965" s="8"/>
      <c r="K965" s="2" t="str">
        <f t="shared" ref="K965:K1000" si="61">SUBSTITUTE(I965,CHAR(10),"&lt;br&gt;")</f>
        <v/>
      </c>
      <c r="L965" s="3" t="str">
        <f t="shared" ref="L965:L1000" si="62">IF(B965="","","{"&amp;$M$1&amp;"no"&amp;$M$1&amp;":"&amp;$M$1&amp;""&amp;B965&amp;""&amp;$M$1&amp;","&amp;$M$1&amp;"name"&amp;$M$1&amp;":"&amp;$M$1&amp;""&amp;C965&amp;""&amp;$M$1&amp;","&amp;$M$1&amp;"category"&amp;$M$1&amp;":"&amp;$M$1&amp;""&amp;D965&amp;""&amp;$M$1&amp;","&amp;$M$1&amp;"price"&amp;$M$1&amp;":"&amp;E965&amp;","&amp;$M$1&amp;"quantity"&amp;$M$1&amp;":"&amp;F965&amp;","&amp;$M$1&amp;"discount"&amp;$M$1&amp;":"&amp;G965*100&amp;","&amp;$M$1&amp;"images"&amp;$M$1&amp;":"&amp;$M$1&amp;""&amp;H965&amp;""&amp;$M$1&amp;","&amp;$M$1&amp;"description"&amp;$M$1&amp;":"&amp;$M$1&amp;""&amp;K965&amp;""&amp;$M$1&amp;"}")</f>
        <v/>
      </c>
      <c r="M965" s="2" t="str">
        <f t="shared" ref="M965:M1000" si="63">IF(L966="","",",")</f>
        <v/>
      </c>
      <c r="N965" t="str">
        <f t="shared" si="60"/>
        <v/>
      </c>
    </row>
    <row r="966" spans="7:14" ht="15.6" thickBot="1" x14ac:dyDescent="0.35">
      <c r="G966" s="10"/>
      <c r="J966" s="8"/>
      <c r="K966" s="2" t="str">
        <f t="shared" si="61"/>
        <v/>
      </c>
      <c r="L966" s="3" t="str">
        <f t="shared" si="62"/>
        <v/>
      </c>
      <c r="M966" s="2" t="str">
        <f t="shared" si="63"/>
        <v/>
      </c>
      <c r="N966" t="str">
        <f t="shared" si="60"/>
        <v/>
      </c>
    </row>
    <row r="967" spans="7:14" ht="15.6" thickBot="1" x14ac:dyDescent="0.35">
      <c r="G967" s="10"/>
      <c r="J967" s="8"/>
      <c r="K967" s="2" t="str">
        <f t="shared" si="61"/>
        <v/>
      </c>
      <c r="L967" s="3" t="str">
        <f t="shared" si="62"/>
        <v/>
      </c>
      <c r="M967" s="2" t="str">
        <f t="shared" si="63"/>
        <v/>
      </c>
      <c r="N967" t="str">
        <f t="shared" si="60"/>
        <v/>
      </c>
    </row>
    <row r="968" spans="7:14" ht="15.6" thickBot="1" x14ac:dyDescent="0.35">
      <c r="G968" s="10"/>
      <c r="J968" s="8"/>
      <c r="K968" s="2" t="str">
        <f t="shared" si="61"/>
        <v/>
      </c>
      <c r="L968" s="3" t="str">
        <f t="shared" si="62"/>
        <v/>
      </c>
      <c r="M968" s="2" t="str">
        <f t="shared" si="63"/>
        <v/>
      </c>
      <c r="N968" t="str">
        <f t="shared" si="60"/>
        <v/>
      </c>
    </row>
    <row r="969" spans="7:14" ht="15.6" thickBot="1" x14ac:dyDescent="0.35">
      <c r="G969" s="10"/>
      <c r="J969" s="8"/>
      <c r="K969" s="2" t="str">
        <f t="shared" si="61"/>
        <v/>
      </c>
      <c r="L969" s="3" t="str">
        <f t="shared" si="62"/>
        <v/>
      </c>
      <c r="M969" s="2" t="str">
        <f t="shared" si="63"/>
        <v/>
      </c>
      <c r="N969" t="str">
        <f t="shared" ref="N969:N999" si="64">_xlfn.CONCAT(L969,M969)</f>
        <v/>
      </c>
    </row>
    <row r="970" spans="7:14" ht="15.6" thickBot="1" x14ac:dyDescent="0.35">
      <c r="G970" s="10"/>
      <c r="J970" s="8"/>
      <c r="K970" s="2" t="str">
        <f t="shared" si="61"/>
        <v/>
      </c>
      <c r="L970" s="3" t="str">
        <f t="shared" si="62"/>
        <v/>
      </c>
      <c r="M970" s="2" t="str">
        <f t="shared" si="63"/>
        <v/>
      </c>
      <c r="N970" t="str">
        <f t="shared" si="64"/>
        <v/>
      </c>
    </row>
    <row r="971" spans="7:14" ht="15.6" thickBot="1" x14ac:dyDescent="0.35">
      <c r="G971" s="10"/>
      <c r="J971" s="8"/>
      <c r="K971" s="2" t="str">
        <f t="shared" si="61"/>
        <v/>
      </c>
      <c r="L971" s="3" t="str">
        <f t="shared" si="62"/>
        <v/>
      </c>
      <c r="M971" s="2" t="str">
        <f t="shared" si="63"/>
        <v/>
      </c>
      <c r="N971" t="str">
        <f t="shared" si="64"/>
        <v/>
      </c>
    </row>
    <row r="972" spans="7:14" ht="15.6" thickBot="1" x14ac:dyDescent="0.35">
      <c r="G972" s="10"/>
      <c r="J972" s="8"/>
      <c r="K972" s="2" t="str">
        <f t="shared" si="61"/>
        <v/>
      </c>
      <c r="L972" s="3" t="str">
        <f t="shared" si="62"/>
        <v/>
      </c>
      <c r="M972" s="2" t="str">
        <f t="shared" si="63"/>
        <v/>
      </c>
      <c r="N972" t="str">
        <f t="shared" si="64"/>
        <v/>
      </c>
    </row>
    <row r="973" spans="7:14" ht="15.6" thickBot="1" x14ac:dyDescent="0.35">
      <c r="G973" s="10"/>
      <c r="J973" s="8"/>
      <c r="K973" s="2" t="str">
        <f t="shared" si="61"/>
        <v/>
      </c>
      <c r="L973" s="3" t="str">
        <f t="shared" si="62"/>
        <v/>
      </c>
      <c r="M973" s="2" t="str">
        <f t="shared" si="63"/>
        <v/>
      </c>
      <c r="N973" t="str">
        <f t="shared" si="64"/>
        <v/>
      </c>
    </row>
    <row r="974" spans="7:14" ht="15.6" thickBot="1" x14ac:dyDescent="0.35">
      <c r="G974" s="10"/>
      <c r="J974" s="8"/>
      <c r="K974" s="2" t="str">
        <f t="shared" si="61"/>
        <v/>
      </c>
      <c r="L974" s="3" t="str">
        <f t="shared" si="62"/>
        <v/>
      </c>
      <c r="M974" s="2" t="str">
        <f t="shared" si="63"/>
        <v/>
      </c>
      <c r="N974" t="str">
        <f t="shared" si="64"/>
        <v/>
      </c>
    </row>
    <row r="975" spans="7:14" ht="15.6" thickBot="1" x14ac:dyDescent="0.35">
      <c r="G975" s="10"/>
      <c r="J975" s="8"/>
      <c r="K975" s="2" t="str">
        <f t="shared" si="61"/>
        <v/>
      </c>
      <c r="L975" s="3" t="str">
        <f t="shared" si="62"/>
        <v/>
      </c>
      <c r="M975" s="2" t="str">
        <f t="shared" si="63"/>
        <v/>
      </c>
      <c r="N975" t="str">
        <f t="shared" si="64"/>
        <v/>
      </c>
    </row>
    <row r="976" spans="7:14" ht="15.6" thickBot="1" x14ac:dyDescent="0.35">
      <c r="G976" s="10"/>
      <c r="J976" s="8"/>
      <c r="K976" s="2" t="str">
        <f t="shared" si="61"/>
        <v/>
      </c>
      <c r="L976" s="3" t="str">
        <f t="shared" si="62"/>
        <v/>
      </c>
      <c r="M976" s="2" t="str">
        <f t="shared" si="63"/>
        <v/>
      </c>
      <c r="N976" t="str">
        <f t="shared" si="64"/>
        <v/>
      </c>
    </row>
    <row r="977" spans="7:14" ht="15.6" thickBot="1" x14ac:dyDescent="0.35">
      <c r="G977" s="10"/>
      <c r="J977" s="8"/>
      <c r="K977" s="2" t="str">
        <f t="shared" si="61"/>
        <v/>
      </c>
      <c r="L977" s="3" t="str">
        <f t="shared" si="62"/>
        <v/>
      </c>
      <c r="M977" s="2" t="str">
        <f t="shared" si="63"/>
        <v/>
      </c>
      <c r="N977" t="str">
        <f t="shared" si="64"/>
        <v/>
      </c>
    </row>
    <row r="978" spans="7:14" ht="15.6" thickBot="1" x14ac:dyDescent="0.35">
      <c r="G978" s="10"/>
      <c r="J978" s="8"/>
      <c r="K978" s="2" t="str">
        <f t="shared" si="61"/>
        <v/>
      </c>
      <c r="L978" s="3" t="str">
        <f t="shared" si="62"/>
        <v/>
      </c>
      <c r="M978" s="2" t="str">
        <f t="shared" si="63"/>
        <v/>
      </c>
      <c r="N978" t="str">
        <f t="shared" si="64"/>
        <v/>
      </c>
    </row>
    <row r="979" spans="7:14" ht="15.6" thickBot="1" x14ac:dyDescent="0.35">
      <c r="G979" s="10"/>
      <c r="J979" s="8"/>
      <c r="K979" s="2" t="str">
        <f t="shared" si="61"/>
        <v/>
      </c>
      <c r="L979" s="3" t="str">
        <f t="shared" si="62"/>
        <v/>
      </c>
      <c r="M979" s="2" t="str">
        <f t="shared" si="63"/>
        <v/>
      </c>
      <c r="N979" t="str">
        <f t="shared" si="64"/>
        <v/>
      </c>
    </row>
    <row r="980" spans="7:14" ht="15.6" thickBot="1" x14ac:dyDescent="0.35">
      <c r="G980" s="10"/>
      <c r="J980" s="8"/>
      <c r="K980" s="2" t="str">
        <f t="shared" si="61"/>
        <v/>
      </c>
      <c r="L980" s="3" t="str">
        <f t="shared" si="62"/>
        <v/>
      </c>
      <c r="M980" s="2" t="str">
        <f t="shared" si="63"/>
        <v/>
      </c>
      <c r="N980" t="str">
        <f t="shared" si="64"/>
        <v/>
      </c>
    </row>
    <row r="981" spans="7:14" ht="15.6" thickBot="1" x14ac:dyDescent="0.35">
      <c r="G981" s="10"/>
      <c r="J981" s="8"/>
      <c r="K981" s="2" t="str">
        <f t="shared" si="61"/>
        <v/>
      </c>
      <c r="L981" s="3" t="str">
        <f t="shared" si="62"/>
        <v/>
      </c>
      <c r="M981" s="2" t="str">
        <f t="shared" si="63"/>
        <v/>
      </c>
      <c r="N981" t="str">
        <f t="shared" si="64"/>
        <v/>
      </c>
    </row>
    <row r="982" spans="7:14" ht="15.6" thickBot="1" x14ac:dyDescent="0.35">
      <c r="G982" s="10"/>
      <c r="J982" s="8"/>
      <c r="K982" s="2" t="str">
        <f t="shared" si="61"/>
        <v/>
      </c>
      <c r="L982" s="3" t="str">
        <f t="shared" si="62"/>
        <v/>
      </c>
      <c r="M982" s="2" t="str">
        <f t="shared" si="63"/>
        <v/>
      </c>
      <c r="N982" t="str">
        <f t="shared" si="64"/>
        <v/>
      </c>
    </row>
    <row r="983" spans="7:14" ht="15.6" thickBot="1" x14ac:dyDescent="0.35">
      <c r="G983" s="10"/>
      <c r="J983" s="8"/>
      <c r="K983" s="2" t="str">
        <f t="shared" si="61"/>
        <v/>
      </c>
      <c r="L983" s="3" t="str">
        <f t="shared" si="62"/>
        <v/>
      </c>
      <c r="M983" s="2" t="str">
        <f t="shared" si="63"/>
        <v/>
      </c>
      <c r="N983" t="str">
        <f t="shared" si="64"/>
        <v/>
      </c>
    </row>
    <row r="984" spans="7:14" ht="15.6" thickBot="1" x14ac:dyDescent="0.35">
      <c r="G984" s="10"/>
      <c r="J984" s="8"/>
      <c r="K984" s="2" t="str">
        <f t="shared" si="61"/>
        <v/>
      </c>
      <c r="L984" s="3" t="str">
        <f t="shared" si="62"/>
        <v/>
      </c>
      <c r="M984" s="2" t="str">
        <f t="shared" si="63"/>
        <v/>
      </c>
      <c r="N984" t="str">
        <f t="shared" si="64"/>
        <v/>
      </c>
    </row>
    <row r="985" spans="7:14" ht="15.6" thickBot="1" x14ac:dyDescent="0.35">
      <c r="G985" s="10"/>
      <c r="J985" s="8"/>
      <c r="K985" s="2" t="str">
        <f t="shared" si="61"/>
        <v/>
      </c>
      <c r="L985" s="3" t="str">
        <f t="shared" si="62"/>
        <v/>
      </c>
      <c r="M985" s="2" t="str">
        <f t="shared" si="63"/>
        <v/>
      </c>
      <c r="N985" t="str">
        <f t="shared" si="64"/>
        <v/>
      </c>
    </row>
    <row r="986" spans="7:14" ht="15.6" thickBot="1" x14ac:dyDescent="0.35">
      <c r="G986" s="10"/>
      <c r="J986" s="8"/>
      <c r="K986" s="2" t="str">
        <f t="shared" si="61"/>
        <v/>
      </c>
      <c r="L986" s="3" t="str">
        <f t="shared" si="62"/>
        <v/>
      </c>
      <c r="M986" s="2" t="str">
        <f t="shared" si="63"/>
        <v/>
      </c>
      <c r="N986" t="str">
        <f t="shared" si="64"/>
        <v/>
      </c>
    </row>
    <row r="987" spans="7:14" ht="15.6" thickBot="1" x14ac:dyDescent="0.35">
      <c r="G987" s="10"/>
      <c r="J987" s="8"/>
      <c r="K987" s="2" t="str">
        <f t="shared" si="61"/>
        <v/>
      </c>
      <c r="L987" s="3" t="str">
        <f t="shared" si="62"/>
        <v/>
      </c>
      <c r="M987" s="2" t="str">
        <f t="shared" si="63"/>
        <v/>
      </c>
      <c r="N987" t="str">
        <f t="shared" si="64"/>
        <v/>
      </c>
    </row>
    <row r="988" spans="7:14" ht="15.6" thickBot="1" x14ac:dyDescent="0.35">
      <c r="G988" s="10"/>
      <c r="J988" s="8"/>
      <c r="K988" s="2" t="str">
        <f t="shared" si="61"/>
        <v/>
      </c>
      <c r="L988" s="3" t="str">
        <f t="shared" si="62"/>
        <v/>
      </c>
      <c r="M988" s="2" t="str">
        <f t="shared" si="63"/>
        <v/>
      </c>
      <c r="N988" t="str">
        <f t="shared" si="64"/>
        <v/>
      </c>
    </row>
    <row r="989" spans="7:14" ht="15.6" thickBot="1" x14ac:dyDescent="0.35">
      <c r="G989" s="10"/>
      <c r="J989" s="8"/>
      <c r="K989" s="2" t="str">
        <f t="shared" si="61"/>
        <v/>
      </c>
      <c r="L989" s="3" t="str">
        <f t="shared" si="62"/>
        <v/>
      </c>
      <c r="M989" s="2" t="str">
        <f t="shared" si="63"/>
        <v/>
      </c>
      <c r="N989" t="str">
        <f t="shared" si="64"/>
        <v/>
      </c>
    </row>
    <row r="990" spans="7:14" ht="15.6" thickBot="1" x14ac:dyDescent="0.35">
      <c r="G990" s="10"/>
      <c r="J990" s="8"/>
      <c r="K990" s="2" t="str">
        <f t="shared" si="61"/>
        <v/>
      </c>
      <c r="L990" s="3" t="str">
        <f t="shared" si="62"/>
        <v/>
      </c>
      <c r="M990" s="2" t="str">
        <f t="shared" si="63"/>
        <v/>
      </c>
      <c r="N990" t="str">
        <f t="shared" si="64"/>
        <v/>
      </c>
    </row>
    <row r="991" spans="7:14" ht="15.6" thickBot="1" x14ac:dyDescent="0.35">
      <c r="G991" s="10"/>
      <c r="J991" s="8"/>
      <c r="K991" s="2" t="str">
        <f t="shared" si="61"/>
        <v/>
      </c>
      <c r="L991" s="3" t="str">
        <f t="shared" si="62"/>
        <v/>
      </c>
      <c r="M991" s="2" t="str">
        <f t="shared" si="63"/>
        <v/>
      </c>
      <c r="N991" t="str">
        <f t="shared" si="64"/>
        <v/>
      </c>
    </row>
    <row r="992" spans="7:14" ht="15.6" thickBot="1" x14ac:dyDescent="0.35">
      <c r="G992" s="10"/>
      <c r="J992" s="8"/>
      <c r="K992" s="2" t="str">
        <f t="shared" si="61"/>
        <v/>
      </c>
      <c r="L992" s="3" t="str">
        <f t="shared" si="62"/>
        <v/>
      </c>
      <c r="M992" s="2" t="str">
        <f t="shared" si="63"/>
        <v/>
      </c>
      <c r="N992" t="str">
        <f t="shared" si="64"/>
        <v/>
      </c>
    </row>
    <row r="993" spans="7:14" ht="15.6" thickBot="1" x14ac:dyDescent="0.35">
      <c r="G993" s="10"/>
      <c r="J993" s="8"/>
      <c r="K993" s="2" t="str">
        <f t="shared" si="61"/>
        <v/>
      </c>
      <c r="L993" s="3" t="str">
        <f t="shared" si="62"/>
        <v/>
      </c>
      <c r="M993" s="2" t="str">
        <f t="shared" si="63"/>
        <v/>
      </c>
      <c r="N993" t="str">
        <f t="shared" si="64"/>
        <v/>
      </c>
    </row>
    <row r="994" spans="7:14" ht="15.6" thickBot="1" x14ac:dyDescent="0.35">
      <c r="G994" s="10"/>
      <c r="J994" s="8"/>
      <c r="K994" s="2" t="str">
        <f t="shared" si="61"/>
        <v/>
      </c>
      <c r="L994" s="3" t="str">
        <f t="shared" si="62"/>
        <v/>
      </c>
      <c r="M994" s="2" t="str">
        <f t="shared" si="63"/>
        <v/>
      </c>
      <c r="N994" t="str">
        <f t="shared" si="64"/>
        <v/>
      </c>
    </row>
    <row r="995" spans="7:14" ht="15.6" thickBot="1" x14ac:dyDescent="0.35">
      <c r="G995" s="10"/>
      <c r="J995" s="8"/>
      <c r="K995" s="2" t="str">
        <f t="shared" si="61"/>
        <v/>
      </c>
      <c r="L995" s="3" t="str">
        <f t="shared" si="62"/>
        <v/>
      </c>
      <c r="M995" s="2" t="str">
        <f t="shared" si="63"/>
        <v/>
      </c>
      <c r="N995" t="str">
        <f t="shared" si="64"/>
        <v/>
      </c>
    </row>
    <row r="996" spans="7:14" ht="15.6" thickBot="1" x14ac:dyDescent="0.35">
      <c r="G996" s="10"/>
      <c r="J996" s="8"/>
      <c r="K996" s="2" t="str">
        <f t="shared" si="61"/>
        <v/>
      </c>
      <c r="L996" s="3" t="str">
        <f t="shared" si="62"/>
        <v/>
      </c>
      <c r="M996" s="2" t="str">
        <f t="shared" si="63"/>
        <v/>
      </c>
      <c r="N996" t="str">
        <f t="shared" si="64"/>
        <v/>
      </c>
    </row>
    <row r="997" spans="7:14" ht="15.6" thickBot="1" x14ac:dyDescent="0.35">
      <c r="G997" s="10"/>
      <c r="J997" s="8"/>
      <c r="K997" s="2" t="str">
        <f t="shared" si="61"/>
        <v/>
      </c>
      <c r="L997" s="3" t="str">
        <f t="shared" si="62"/>
        <v/>
      </c>
      <c r="M997" s="2" t="str">
        <f t="shared" si="63"/>
        <v/>
      </c>
      <c r="N997" t="str">
        <f t="shared" si="64"/>
        <v/>
      </c>
    </row>
    <row r="998" spans="7:14" ht="15.6" thickBot="1" x14ac:dyDescent="0.35">
      <c r="G998" s="10"/>
      <c r="J998" s="8"/>
      <c r="K998" s="2" t="str">
        <f t="shared" si="61"/>
        <v/>
      </c>
      <c r="L998" s="3" t="str">
        <f t="shared" si="62"/>
        <v/>
      </c>
      <c r="M998" s="2" t="str">
        <f t="shared" si="63"/>
        <v/>
      </c>
      <c r="N998" t="str">
        <f t="shared" si="64"/>
        <v/>
      </c>
    </row>
    <row r="999" spans="7:14" ht="15.6" thickBot="1" x14ac:dyDescent="0.35">
      <c r="G999" s="10"/>
      <c r="J999" s="8"/>
      <c r="K999" s="2" t="str">
        <f t="shared" si="61"/>
        <v/>
      </c>
      <c r="L999" s="3" t="str">
        <f t="shared" si="62"/>
        <v/>
      </c>
      <c r="M999" s="2" t="str">
        <f t="shared" si="63"/>
        <v/>
      </c>
      <c r="N999" t="str">
        <f t="shared" si="64"/>
        <v/>
      </c>
    </row>
    <row r="1000" spans="7:14" x14ac:dyDescent="0.3">
      <c r="K1000" s="2" t="str">
        <f t="shared" si="61"/>
        <v/>
      </c>
      <c r="L1000" s="3" t="str">
        <f t="shared" si="62"/>
        <v/>
      </c>
      <c r="M1000" s="2" t="str">
        <f t="shared" si="63"/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1</xdr:col>
                <xdr:colOff>723900</xdr:colOff>
                <xdr:row>0</xdr:row>
                <xdr:rowOff>0</xdr:rowOff>
              </from>
              <to>
                <xdr:col>5</xdr:col>
                <xdr:colOff>76200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HELLO</cp:lastModifiedBy>
  <dcterms:created xsi:type="dcterms:W3CDTF">2015-06-05T18:17:20Z</dcterms:created>
  <dcterms:modified xsi:type="dcterms:W3CDTF">2020-01-12T06:19:13Z</dcterms:modified>
</cp:coreProperties>
</file>